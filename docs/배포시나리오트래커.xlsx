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시나리오_트래커" sheetId="2" state="visible" r:id="rId4"/>
    <sheet name="게이트_매핑" sheetId="3" state="visible" r:id="rId5"/>
    <sheet name="담당_확정" sheetId="4" state="visible" r:id="rId6"/>
    <sheet name="기록" sheetId="5" state="visible" r:id="rId7"/>
  </sheets>
  <definedNames>
    <definedName function="false" hidden="true" localSheetId="1" name="_xlnm._FilterDatabase" vbProcedure="false">시나리오_트래커!$A$2:$O$15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<sst xmlns="http://schemas.openxmlformats.org/spreadsheetml/2006/main" count="380" uniqueCount="233">
  <si>
    <r>
      <rPr>
        <b val="true"/>
        <sz val="15"/>
        <color rgb="FF16324F"/>
        <rFont val="Noto Sans CJK SC"/>
        <family val="2"/>
      </rPr>
      <t xml:space="preserve">여행영어 </t>
    </r>
    <r>
      <rPr>
        <b val="true"/>
        <sz val="15"/>
        <color rgb="FF16324F"/>
        <rFont val="맑은 고딕"/>
        <family val="0"/>
        <charset val="1"/>
      </rPr>
      <t xml:space="preserve">AI </t>
    </r>
    <r>
      <rPr>
        <b val="true"/>
        <sz val="15"/>
        <color rgb="FF16324F"/>
        <rFont val="Noto Sans CJK SC"/>
        <family val="2"/>
      </rPr>
      <t xml:space="preserve">서비스 — 배포 장애 시나리오 트래커</t>
    </r>
  </si>
  <si>
    <r>
      <rPr>
        <b val="true"/>
        <sz val="9"/>
        <color rgb="FF8A1C1C"/>
        <rFont val="Noto Sans CJK SC"/>
        <family val="2"/>
      </rPr>
      <t xml:space="preserve">기준 커밋</t>
    </r>
    <r>
      <rPr>
        <b val="true"/>
        <sz val="9"/>
        <color rgb="FF8A1C1C"/>
        <rFont val="맑은 고딕"/>
        <family val="0"/>
        <charset val="1"/>
      </rPr>
      <t xml:space="preserve">: seongbin45/codyssey_final @ cfcfccc (New-add-backend)    |    </t>
    </r>
    <r>
      <rPr>
        <b val="true"/>
        <sz val="9"/>
        <color rgb="FF8A1C1C"/>
        <rFont val="Noto Sans CJK SC"/>
        <family val="2"/>
      </rPr>
      <t xml:space="preserve">배포</t>
    </r>
    <r>
      <rPr>
        <b val="true"/>
        <sz val="9"/>
        <color rgb="FF8A1C1C"/>
        <rFont val="맑은 고딕"/>
        <family val="0"/>
        <charset val="1"/>
      </rPr>
      <t xml:space="preserve">: 2026-10-06 16:41Z (KST 10/07 01:41)    |    </t>
    </r>
    <r>
      <rPr>
        <b val="true"/>
        <sz val="9"/>
        <color rgb="FF8A1C1C"/>
        <rFont val="Noto Sans CJK SC"/>
        <family val="2"/>
      </rPr>
      <t xml:space="preserve">이 브랜치는 움직입니다</t>
    </r>
  </si>
  <si>
    <r>
      <rPr>
        <b val="true"/>
        <sz val="11"/>
        <color rgb="FF1B6B3A"/>
        <rFont val="맑은 고딕"/>
        <family val="0"/>
        <charset val="1"/>
      </rPr>
      <t xml:space="preserve">0. </t>
    </r>
    <r>
      <rPr>
        <b val="true"/>
        <sz val="11"/>
        <color rgb="FF1B6B3A"/>
        <rFont val="Noto Sans CJK SC"/>
        <family val="2"/>
      </rPr>
      <t xml:space="preserve">배포 정보 </t>
    </r>
    <r>
      <rPr>
        <b val="true"/>
        <sz val="11"/>
        <color rgb="FF1B6B3A"/>
        <rFont val="맑은 고딕"/>
        <family val="0"/>
        <charset val="1"/>
      </rPr>
      <t xml:space="preserve">(</t>
    </r>
    <r>
      <rPr>
        <b val="true"/>
        <sz val="11"/>
        <color rgb="FF1B6B3A"/>
        <rFont val="Noto Sans CJK SC"/>
        <family val="2"/>
      </rPr>
      <t xml:space="preserve">로그 확인</t>
    </r>
    <r>
      <rPr>
        <b val="true"/>
        <sz val="11"/>
        <color rgb="FF1B6B3A"/>
        <rFont val="맑은 고딕"/>
        <family val="0"/>
        <charset val="1"/>
      </rPr>
      <t xml:space="preserve">)</t>
    </r>
  </si>
  <si>
    <t xml:space="preserve">서비스명</t>
  </si>
  <si>
    <t xml:space="preserve">codyssey-final</t>
  </si>
  <si>
    <t xml:space="preserve">URL</t>
  </si>
  <si>
    <t xml:space="preserve">https://codyssey-final.onrender.com</t>
  </si>
  <si>
    <t xml:space="preserve">배포 시각</t>
  </si>
  <si>
    <t xml:space="preserve">2026-10-06 16:41Z</t>
  </si>
  <si>
    <t xml:space="preserve">빌드</t>
  </si>
  <si>
    <t xml:space="preserve">성공</t>
  </si>
  <si>
    <t xml:space="preserve">상태</t>
  </si>
  <si>
    <t xml:space="preserve">live</t>
  </si>
  <si>
    <r>
      <rPr>
        <b val="true"/>
        <sz val="10"/>
        <color rgb="FF16324F"/>
        <rFont val="Noto Sans CJK SC"/>
        <family val="2"/>
      </rPr>
      <t xml:space="preserve">배포 브랜치 </t>
    </r>
    <r>
      <rPr>
        <b val="true"/>
        <sz val="10"/>
        <color rgb="FF16324F"/>
        <rFont val="맑은 고딕"/>
        <family val="0"/>
        <charset val="1"/>
      </rPr>
      <t xml:space="preserve">/ SHA</t>
    </r>
  </si>
  <si>
    <r>
      <rPr>
        <sz val="10"/>
        <rFont val="맑은 고딕"/>
        <family val="0"/>
        <charset val="1"/>
      </rPr>
      <t xml:space="preserve">**</t>
    </r>
    <r>
      <rPr>
        <sz val="10"/>
        <rFont val="Noto Sans CJK SC"/>
        <family val="2"/>
      </rPr>
      <t xml:space="preserve">미확인 — </t>
    </r>
    <r>
      <rPr>
        <sz val="10"/>
        <rFont val="맑은 고딕"/>
        <family val="0"/>
        <charset val="1"/>
      </rPr>
      <t xml:space="preserve">Deploys </t>
    </r>
    <r>
      <rPr>
        <sz val="10"/>
        <rFont val="Noto Sans CJK SC"/>
        <family val="2"/>
      </rPr>
      <t xml:space="preserve">페이지에서 확인 필요</t>
    </r>
    <r>
      <rPr>
        <sz val="10"/>
        <rFont val="맑은 고딕"/>
        <family val="0"/>
        <charset val="1"/>
      </rPr>
      <t xml:space="preserve">**</t>
    </r>
  </si>
  <si>
    <r>
      <rPr>
        <b val="true"/>
        <sz val="11"/>
        <color rgb="FF2E5C8A"/>
        <rFont val="맑은 고딕"/>
        <family val="0"/>
        <charset val="1"/>
      </rPr>
      <t xml:space="preserve">1. </t>
    </r>
    <r>
      <rPr>
        <b val="true"/>
        <sz val="11"/>
        <color rgb="FF2E5C8A"/>
        <rFont val="Noto Sans CJK SC"/>
        <family val="2"/>
      </rPr>
      <t xml:space="preserve">전체 현황</t>
    </r>
  </si>
  <si>
    <t xml:space="preserve">구분</t>
  </si>
  <si>
    <t xml:space="preserve">값</t>
  </si>
  <si>
    <t xml:space="preserve">판정</t>
  </si>
  <si>
    <t xml:space="preserve">건수</t>
  </si>
  <si>
    <r>
      <rPr>
        <b val="true"/>
        <sz val="10"/>
        <color rgb="FFFFFFFF"/>
        <rFont val="Noto Sans CJK SC"/>
        <family val="2"/>
      </rPr>
      <t xml:space="preserve">담당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제안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</si>
  <si>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총 시나리오</t>
  </si>
  <si>
    <t xml:space="preserve">No-Go</t>
  </si>
  <si>
    <t xml:space="preserve">최성빈</t>
  </si>
  <si>
    <t xml:space="preserve">첫 배포에서 나오는 것</t>
  </si>
  <si>
    <r>
      <rPr>
        <sz val="10"/>
        <rFont val="Noto Sans CJK SC"/>
        <family val="2"/>
      </rPr>
      <t xml:space="preserve">제한 </t>
    </r>
    <r>
      <rPr>
        <sz val="10"/>
        <rFont val="맑은 고딕"/>
        <family val="0"/>
        <charset val="1"/>
      </rPr>
      <t xml:space="preserve">Go</t>
    </r>
  </si>
  <si>
    <r>
      <rPr>
        <b val="true"/>
        <sz val="10"/>
        <rFont val="Noto Sans CJK SC"/>
        <family val="2"/>
      </rPr>
      <t xml:space="preserve">미정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프론트</t>
    </r>
    <r>
      <rPr>
        <b val="true"/>
        <sz val="10"/>
        <rFont val="맑은 고딕"/>
        <family val="0"/>
        <charset val="1"/>
      </rPr>
      <t xml:space="preserve">)</t>
    </r>
  </si>
  <si>
    <t xml:space="preserve">이후에나 나오는 것</t>
  </si>
  <si>
    <t xml:space="preserve">재시도</t>
  </si>
  <si>
    <t xml:space="preserve">담당 확정</t>
  </si>
  <si>
    <r>
      <rPr>
        <b val="true"/>
        <sz val="10"/>
        <rFont val="Noto Sans CJK SC"/>
        <family val="2"/>
      </rPr>
      <t xml:space="preserve">담당 확정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미확정</t>
    </r>
  </si>
  <si>
    <t xml:space="preserve">Go</t>
  </si>
  <si>
    <t xml:space="preserve">담당 미확정</t>
  </si>
  <si>
    <t xml:space="preserve">실제 발생 기록됨</t>
  </si>
  <si>
    <t xml:space="preserve">합계</t>
  </si>
  <si>
    <r>
      <rPr>
        <b val="true"/>
        <sz val="11"/>
        <color rgb="FF2E5C8A"/>
        <rFont val="맑은 고딕"/>
        <family val="0"/>
        <charset val="1"/>
      </rPr>
      <t xml:space="preserve">2. </t>
    </r>
    <r>
      <rPr>
        <b val="true"/>
        <sz val="11"/>
        <color rgb="FF2E5C8A"/>
        <rFont val="Noto Sans CJK SC"/>
        <family val="2"/>
      </rPr>
      <t xml:space="preserve">경고 — 읽고 넘어가세요</t>
    </r>
  </si>
  <si>
    <r>
      <rPr>
        <b val="true"/>
        <sz val="10"/>
        <color rgb="FF8A1C1C"/>
        <rFont val="Noto Sans CJK SC"/>
        <family val="2"/>
      </rPr>
      <t xml:space="preserve">배포 성공 </t>
    </r>
    <r>
      <rPr>
        <b val="true"/>
        <sz val="10"/>
        <color rgb="FF8A1C1C"/>
        <rFont val="맑은 고딕"/>
        <family val="0"/>
        <charset val="1"/>
      </rPr>
      <t xml:space="preserve">· </t>
    </r>
    <r>
      <rPr>
        <b val="true"/>
        <sz val="10"/>
        <color rgb="FF8A1C1C"/>
        <rFont val="Noto Sans CJK SC"/>
        <family val="2"/>
      </rPr>
      <t xml:space="preserve">본문 미확인</t>
    </r>
  </si>
  <si>
    <r>
      <rPr>
        <sz val="10"/>
        <rFont val="맑은 고딕"/>
        <family val="0"/>
        <charset val="1"/>
      </rPr>
      <t xml:space="preserve">2026-10-06 16:41Z </t>
    </r>
    <r>
      <rPr>
        <sz val="10"/>
        <rFont val="Noto Sans CJK SC"/>
        <family val="2"/>
      </rPr>
      <t xml:space="preserve">빌드 성공</t>
    </r>
    <r>
      <rPr>
        <sz val="10"/>
        <rFont val="맑은 고딕"/>
        <family val="0"/>
        <charset val="1"/>
      </rPr>
      <t xml:space="preserve">, live, GET / 200. </t>
    </r>
    <r>
      <rPr>
        <sz val="10"/>
        <rFont val="Noto Sans CJK SC"/>
        <family val="2"/>
      </rPr>
      <t xml:space="preserve">그러나 </t>
    </r>
    <r>
      <rPr>
        <sz val="10"/>
        <rFont val="맑은 고딕"/>
        <family val="0"/>
        <charset val="1"/>
      </rPr>
      <t xml:space="preserve">/health **</t>
    </r>
    <r>
      <rPr>
        <sz val="10"/>
        <rFont val="Noto Sans CJK SC"/>
        <family val="2"/>
      </rPr>
      <t xml:space="preserve">본문</t>
    </r>
    <r>
      <rPr>
        <sz val="10"/>
        <rFont val="맑은 고딕"/>
        <family val="0"/>
        <charset val="1"/>
      </rPr>
      <t xml:space="preserve">**</t>
    </r>
    <r>
      <rPr>
        <sz val="10"/>
        <rFont val="Noto Sans CJK SC"/>
        <family val="2"/>
      </rPr>
      <t xml:space="preserve">과 배포된 </t>
    </r>
    <r>
      <rPr>
        <sz val="10"/>
        <rFont val="맑은 고딕"/>
        <family val="0"/>
        <charset val="1"/>
      </rPr>
      <t xml:space="preserve">SHA·</t>
    </r>
    <r>
      <rPr>
        <sz val="10"/>
        <rFont val="Noto Sans CJK SC"/>
        <family val="2"/>
      </rPr>
      <t xml:space="preserve">브랜치는 아직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둘이 없으면 </t>
    </r>
    <r>
      <rPr>
        <sz val="10"/>
        <rFont val="맑은 고딕"/>
        <family val="0"/>
        <charset val="1"/>
      </rPr>
      <t xml:space="preserve">F02·F03·F04 </t>
    </r>
    <r>
      <rPr>
        <sz val="10"/>
        <rFont val="Noto Sans CJK SC"/>
        <family val="2"/>
      </rPr>
      <t xml:space="preserve">를 채울 수 없습니다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</si>
  <si>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8A1C1C"/>
        <rFont val="Noto Sans CJK SC"/>
        <family val="2"/>
      </rPr>
      <t xml:space="preserve">서비스명이 </t>
    </r>
    <r>
      <rPr>
        <b val="true"/>
        <sz val="10"/>
        <color rgb="FF8A1C1C"/>
        <rFont val="맑은 고딕"/>
        <family val="0"/>
        <charset val="1"/>
      </rPr>
      <t xml:space="preserve">render.yaml</t>
    </r>
    <r>
      <rPr>
        <b val="true"/>
        <sz val="10"/>
        <color rgb="FF8A1C1C"/>
        <rFont val="Noto Sans CJK SC"/>
        <family val="2"/>
      </rPr>
      <t xml:space="preserve">과 다름</t>
    </r>
  </si>
  <si>
    <r>
      <rPr>
        <sz val="10"/>
        <rFont val="맑은 고딕"/>
        <family val="0"/>
        <charset val="1"/>
      </rPr>
      <t xml:space="preserve">render.yaml 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`codyssey-api`, </t>
    </r>
    <r>
      <rPr>
        <sz val="10"/>
        <rFont val="Noto Sans CJK SC"/>
        <family val="2"/>
      </rPr>
      <t xml:space="preserve">실제 서비스는 </t>
    </r>
    <r>
      <rPr>
        <sz val="10"/>
        <rFont val="맑은 고딕"/>
        <family val="0"/>
        <charset val="1"/>
      </rPr>
      <t xml:space="preserve">`codyssey-final`. PYTHON_VERSION </t>
    </r>
    <r>
      <rPr>
        <sz val="10"/>
        <rFont val="Noto Sans CJK SC"/>
        <family val="2"/>
      </rPr>
      <t xml:space="preserve">도 </t>
    </r>
    <r>
      <rPr>
        <sz val="10"/>
        <rFont val="맑은 고딕"/>
        <family val="0"/>
        <charset val="1"/>
      </rPr>
      <t xml:space="preserve">3.11.9 </t>
    </r>
    <r>
      <rPr>
        <sz val="10"/>
        <rFont val="Noto Sans CJK SC"/>
        <family val="2"/>
      </rPr>
      <t xml:space="preserve">미적용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로그는 </t>
    </r>
    <r>
      <rPr>
        <sz val="10"/>
        <rFont val="맑은 고딕"/>
        <family val="0"/>
        <charset val="1"/>
      </rPr>
      <t xml:space="preserve">cp310 </t>
    </r>
    <r>
      <rPr>
        <sz val="10"/>
        <rFont val="Noto Sans CJK SC"/>
        <family val="2"/>
      </rPr>
      <t xml:space="preserve">휠</t>
    </r>
    <r>
      <rPr>
        <sz val="10"/>
        <rFont val="맑은 고딕"/>
        <family val="0"/>
        <charset val="1"/>
      </rPr>
      <t xml:space="preserve">) → **Blueprint </t>
    </r>
    <r>
      <rPr>
        <sz val="10"/>
        <rFont val="Noto Sans CJK SC"/>
        <family val="2"/>
      </rPr>
      <t xml:space="preserve">로 만든 서비스가 아닐 가능성</t>
    </r>
    <r>
      <rPr>
        <sz val="10"/>
        <rFont val="맑은 고딕"/>
        <family val="0"/>
        <charset val="1"/>
      </rPr>
      <t xml:space="preserve">**. </t>
    </r>
    <r>
      <rPr>
        <sz val="10"/>
        <rFont val="Noto Sans CJK SC"/>
        <family val="2"/>
      </rPr>
      <t xml:space="preserve">배포 방식 확인 필요</t>
    </r>
    <r>
      <rPr>
        <sz val="10"/>
        <rFont val="맑은 고딕"/>
        <family val="0"/>
        <charset val="1"/>
      </rPr>
      <t xml:space="preserve">.</t>
    </r>
  </si>
  <si>
    <t xml:space="preserve">단일 장애점</t>
  </si>
  <si>
    <r>
      <rPr>
        <sz val="10"/>
        <rFont val="Noto Sans CJK SC"/>
        <family val="2"/>
      </rPr>
      <t xml:space="preserve">대응 담당이 최성빈 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건 전부입니다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대리 담당을 지금 지정하세요</t>
    </r>
    <r>
      <rPr>
        <sz val="10"/>
        <rFont val="맑은 고딕"/>
        <family val="0"/>
        <charset val="1"/>
      </rPr>
      <t xml:space="preserve">.</t>
    </r>
  </si>
  <si>
    <t xml:space="preserve">담당 전원 미확정</t>
  </si>
  <si>
    <r>
      <rPr>
        <sz val="10"/>
        <rFont val="Noto Sans CJK SC"/>
        <family val="2"/>
      </rPr>
      <t xml:space="preserve">역할 배정이 팀 합의 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담당 확정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0/13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담당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제안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열은 제안입니다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</si>
  <si>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8A1C1C"/>
        <rFont val="Noto Sans CJK SC"/>
        <family val="2"/>
      </rPr>
      <t xml:space="preserve">증거 등급 </t>
    </r>
    <r>
      <rPr>
        <b val="true"/>
        <sz val="10"/>
        <color rgb="FF8A1C1C"/>
        <rFont val="맑은 고딕"/>
        <family val="0"/>
        <charset val="1"/>
      </rPr>
      <t xml:space="preserve">3</t>
    </r>
    <r>
      <rPr>
        <b val="true"/>
        <sz val="10"/>
        <color rgb="FF8A1C1C"/>
        <rFont val="Noto Sans CJK SC"/>
        <family val="2"/>
      </rPr>
      <t xml:space="preserve">단계 유지</t>
    </r>
  </si>
  <si>
    <r>
      <rPr>
        <sz val="10"/>
        <rFont val="Noto Sans CJK SC"/>
        <family val="2"/>
      </rPr>
      <t xml:space="preserve">구현됨 → 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로컬 테스트 확인 → 실환경 확인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배포 로그 확인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부분</t>
    </r>
    <r>
      <rPr>
        <sz val="10"/>
        <rFont val="맑은 고딕"/>
        <family val="0"/>
        <charset val="1"/>
      </rPr>
      <t xml:space="preserve">)'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HTTP </t>
    </r>
    <r>
      <rPr>
        <sz val="10"/>
        <rFont val="Noto Sans CJK SC"/>
        <family val="2"/>
      </rPr>
      <t xml:space="preserve">응답까지만 본 것입니다 — 내용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정확성은 별개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</si>
  <si>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8A1C1C"/>
        <rFont val="맑은 고딕"/>
        <family val="0"/>
        <charset val="1"/>
      </rPr>
      <t xml:space="preserve">F07</t>
    </r>
    <r>
      <rPr>
        <b val="true"/>
        <sz val="10"/>
        <color rgb="FF8A1C1C"/>
        <rFont val="Noto Sans CJK SC"/>
        <family val="2"/>
      </rPr>
      <t xml:space="preserve">은 판정 대상이 아님</t>
    </r>
  </si>
  <si>
    <r>
      <rPr>
        <sz val="10"/>
        <rFont val="Noto Sans CJK SC"/>
        <family val="2"/>
      </rPr>
      <t xml:space="preserve">콜드스타트는 </t>
    </r>
    <r>
      <rPr>
        <sz val="10"/>
        <rFont val="맑은 고딕"/>
        <family val="0"/>
        <charset val="1"/>
      </rPr>
      <t xml:space="preserve">Go/No-Go</t>
    </r>
    <r>
      <rPr>
        <sz val="10"/>
        <rFont val="Noto Sans CJK SC"/>
        <family val="2"/>
      </rPr>
      <t xml:space="preserve">가 아니라 </t>
    </r>
    <r>
      <rPr>
        <sz val="10"/>
        <rFont val="맑은 고딕"/>
        <family val="0"/>
        <charset val="1"/>
      </rPr>
      <t xml:space="preserve">60</t>
    </r>
    <r>
      <rPr>
        <sz val="10"/>
        <rFont val="Noto Sans CJK SC"/>
        <family val="2"/>
      </rPr>
      <t xml:space="preserve">초 재시도입니다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이분법에 넣으면 시연 중 엉뚱한 롤백을 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</si>
  <si>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1"/>
        <color rgb="FF2E5C8A"/>
        <rFont val="맑은 고딕"/>
        <family val="0"/>
        <charset val="1"/>
      </rPr>
      <t xml:space="preserve">3. </t>
    </r>
    <r>
      <rPr>
        <b val="true"/>
        <sz val="11"/>
        <color rgb="FF2E5C8A"/>
        <rFont val="Noto Sans CJK SC"/>
        <family val="2"/>
      </rPr>
      <t xml:space="preserve">증거 등급 </t>
    </r>
    <r>
      <rPr>
        <b val="true"/>
        <sz val="11"/>
        <color rgb="FF2E5C8A"/>
        <rFont val="맑은 고딕"/>
        <family val="0"/>
        <charset val="1"/>
      </rPr>
      <t xml:space="preserve">(</t>
    </r>
    <r>
      <rPr>
        <b val="true"/>
        <sz val="11"/>
        <color rgb="FF2E5C8A"/>
        <rFont val="Noto Sans CJK SC"/>
        <family val="2"/>
      </rPr>
      <t xml:space="preserve">코드</t>
    </r>
    <r>
      <rPr>
        <b val="true"/>
        <sz val="11"/>
        <color rgb="FF2E5C8A"/>
        <rFont val="맑은 고딕"/>
        <family val="0"/>
        <charset val="1"/>
      </rPr>
      <t xml:space="preserve">·</t>
    </r>
    <r>
      <rPr>
        <b val="true"/>
        <sz val="11"/>
        <color rgb="FF2E5C8A"/>
        <rFont val="Noto Sans CJK SC"/>
        <family val="2"/>
      </rPr>
      <t xml:space="preserve">로그 기준</t>
    </r>
    <r>
      <rPr>
        <b val="true"/>
        <sz val="11"/>
        <color rgb="FF2E5C8A"/>
        <rFont val="맑은 고딕"/>
        <family val="0"/>
        <charset val="1"/>
      </rPr>
      <t xml:space="preserve">)</t>
    </r>
  </si>
  <si>
    <t xml:space="preserve">해당 없음</t>
  </si>
  <si>
    <t xml:space="preserve">F01 · F07 · F08 · F10</t>
  </si>
  <si>
    <r>
      <rPr>
        <b val="true"/>
        <sz val="10"/>
        <color rgb="FF8A6A00"/>
        <rFont val="Noto Sans CJK SC"/>
        <family val="2"/>
      </rPr>
      <t xml:space="preserve">구현됨 </t>
    </r>
    <r>
      <rPr>
        <b val="true"/>
        <sz val="10"/>
        <color rgb="FF8A6A00"/>
        <rFont val="맑은 고딕"/>
        <family val="0"/>
        <charset val="1"/>
      </rPr>
      <t xml:space="preserve">· </t>
    </r>
    <r>
      <rPr>
        <b val="true"/>
        <sz val="10"/>
        <color rgb="FF8A6A00"/>
        <rFont val="Noto Sans CJK SC"/>
        <family val="2"/>
      </rPr>
      <t xml:space="preserve">실환경 미검증</t>
    </r>
  </si>
  <si>
    <t xml:space="preserve">F02 · F03</t>
  </si>
  <si>
    <t xml:space="preserve">외부 조치</t>
  </si>
  <si>
    <t xml:space="preserve">F04</t>
  </si>
  <si>
    <t xml:space="preserve">부분 구현</t>
  </si>
  <si>
    <t xml:space="preserve">F05 · F06</t>
  </si>
  <si>
    <t xml:space="preserve">미착수</t>
  </si>
  <si>
    <t xml:space="preserve">F11</t>
  </si>
  <si>
    <r>
      <rPr>
        <b val="true"/>
        <sz val="10"/>
        <color rgb="FF1B6B3A"/>
        <rFont val="Noto Sans CJK SC"/>
        <family val="2"/>
      </rPr>
      <t xml:space="preserve">합성</t>
    </r>
    <r>
      <rPr>
        <b val="true"/>
        <sz val="10"/>
        <color rgb="FF1B6B3A"/>
        <rFont val="맑은 고딕"/>
        <family val="0"/>
        <charset val="1"/>
      </rPr>
      <t xml:space="preserve">·</t>
    </r>
    <r>
      <rPr>
        <b val="true"/>
        <sz val="10"/>
        <color rgb="FF1B6B3A"/>
        <rFont val="Noto Sans CJK SC"/>
        <family val="2"/>
      </rPr>
      <t xml:space="preserve">로컬 테스트 확인</t>
    </r>
  </si>
  <si>
    <t xml:space="preserve">F09 · F13</t>
  </si>
  <si>
    <r>
      <rPr>
        <b val="true"/>
        <sz val="10"/>
        <color rgb="FF1F5F5B"/>
        <rFont val="Noto Sans CJK SC"/>
        <family val="2"/>
      </rPr>
      <t xml:space="preserve">배포 로그 확인 </t>
    </r>
    <r>
      <rPr>
        <b val="true"/>
        <sz val="10"/>
        <color rgb="FF1F5F5B"/>
        <rFont val="맑은 고딕"/>
        <family val="0"/>
        <charset val="1"/>
      </rPr>
      <t xml:space="preserve">(</t>
    </r>
    <r>
      <rPr>
        <b val="true"/>
        <sz val="10"/>
        <color rgb="FF1F5F5B"/>
        <rFont val="Noto Sans CJK SC"/>
        <family val="2"/>
      </rPr>
      <t xml:space="preserve">부분</t>
    </r>
    <r>
      <rPr>
        <b val="true"/>
        <sz val="10"/>
        <color rgb="FF1F5F5B"/>
        <rFont val="맑은 고딕"/>
        <family val="0"/>
        <charset val="1"/>
      </rPr>
      <t xml:space="preserve">)</t>
    </r>
  </si>
  <si>
    <t xml:space="preserve">F12</t>
  </si>
  <si>
    <r>
      <rPr>
        <b val="true"/>
        <sz val="9"/>
        <color rgb="FF8A1C1C"/>
        <rFont val="맑은 고딕"/>
        <family val="0"/>
        <charset val="1"/>
      </rPr>
      <t xml:space="preserve">'</t>
    </r>
    <r>
      <rPr>
        <b val="true"/>
        <sz val="9"/>
        <color rgb="FF8A1C1C"/>
        <rFont val="Noto Sans CJK SC"/>
        <family val="2"/>
      </rPr>
      <t xml:space="preserve">배포 로그 확인</t>
    </r>
    <r>
      <rPr>
        <b val="true"/>
        <sz val="9"/>
        <color rgb="FF8A1C1C"/>
        <rFont val="맑은 고딕"/>
        <family val="0"/>
        <charset val="1"/>
      </rPr>
      <t xml:space="preserve">(</t>
    </r>
    <r>
      <rPr>
        <b val="true"/>
        <sz val="9"/>
        <color rgb="FF8A1C1C"/>
        <rFont val="Noto Sans CJK SC"/>
        <family val="2"/>
      </rPr>
      <t xml:space="preserve">부분</t>
    </r>
    <r>
      <rPr>
        <b val="true"/>
        <sz val="9"/>
        <color rgb="FF8A1C1C"/>
        <rFont val="맑은 고딕"/>
        <family val="0"/>
        <charset val="1"/>
      </rPr>
      <t xml:space="preserve">)'</t>
    </r>
    <r>
      <rPr>
        <b val="true"/>
        <sz val="9"/>
        <color rgb="FF8A1C1C"/>
        <rFont val="Noto Sans CJK SC"/>
        <family val="2"/>
      </rPr>
      <t xml:space="preserve">은 정적 서빙 </t>
    </r>
    <r>
      <rPr>
        <b val="true"/>
        <sz val="9"/>
        <color rgb="FF8A1C1C"/>
        <rFont val="맑은 고딕"/>
        <family val="0"/>
        <charset val="1"/>
      </rPr>
      <t xml:space="preserve">HTTP </t>
    </r>
    <r>
      <rPr>
        <b val="true"/>
        <sz val="9"/>
        <color rgb="FF8A1C1C"/>
        <rFont val="Noto Sans CJK SC"/>
        <family val="2"/>
      </rPr>
      <t xml:space="preserve">응답까지만 본 것입니다</t>
    </r>
    <r>
      <rPr>
        <b val="true"/>
        <sz val="9"/>
        <color rgb="FF8A1C1C"/>
        <rFont val="맑은 고딕"/>
        <family val="0"/>
        <charset val="1"/>
      </rPr>
      <t xml:space="preserve">. </t>
    </r>
    <r>
      <rPr>
        <b val="true"/>
        <sz val="9"/>
        <color rgb="FF8A1C1C"/>
        <rFont val="Noto Sans CJK SC"/>
        <family val="2"/>
      </rPr>
      <t xml:space="preserve">화면 내용</t>
    </r>
    <r>
      <rPr>
        <b val="true"/>
        <sz val="9"/>
        <color rgb="FF8A1C1C"/>
        <rFont val="맑은 고딕"/>
        <family val="0"/>
        <charset val="1"/>
      </rPr>
      <t xml:space="preserve">·API </t>
    </r>
    <r>
      <rPr>
        <b val="true"/>
        <sz val="9"/>
        <color rgb="FF8A1C1C"/>
        <rFont val="Noto Sans CJK SC"/>
        <family val="2"/>
      </rPr>
      <t xml:space="preserve">호출</t>
    </r>
    <r>
      <rPr>
        <b val="true"/>
        <sz val="9"/>
        <color rgb="FF8A1C1C"/>
        <rFont val="맑은 고딕"/>
        <family val="0"/>
        <charset val="1"/>
      </rPr>
      <t xml:space="preserve">·</t>
    </r>
    <r>
      <rPr>
        <b val="true"/>
        <sz val="9"/>
        <color rgb="FF8A1C1C"/>
        <rFont val="Noto Sans CJK SC"/>
        <family val="2"/>
      </rPr>
      <t xml:space="preserve">응답 정확성은 별개입니다</t>
    </r>
    <r>
      <rPr>
        <b val="true"/>
        <sz val="9"/>
        <color rgb="FF8A1C1C"/>
        <rFont val="맑은 고딕"/>
        <family val="0"/>
        <charset val="1"/>
      </rPr>
      <t xml:space="preserve">.</t>
    </r>
  </si>
  <si>
    <r>
      <rPr>
        <sz val="9"/>
        <color rgb="FF888888"/>
        <rFont val="Noto Sans CJK SC"/>
        <family val="2"/>
      </rPr>
      <t xml:space="preserve">출처 — </t>
    </r>
    <r>
      <rPr>
        <sz val="9"/>
        <color rgb="FF888888"/>
        <rFont val="맑은 고딕"/>
        <family val="0"/>
        <charset val="1"/>
      </rPr>
      <t xml:space="preserve">Render </t>
    </r>
    <r>
      <rPr>
        <sz val="9"/>
        <color rgb="FF888888"/>
        <rFont val="Noto Sans CJK SC"/>
        <family val="2"/>
      </rPr>
      <t xml:space="preserve">공식 문서</t>
    </r>
    <r>
      <rPr>
        <sz val="9"/>
        <color rgb="FF888888"/>
        <rFont val="맑은 고딕"/>
        <family val="0"/>
        <charset val="1"/>
      </rPr>
      <t xml:space="preserve">(free · rollbacks.md · deploys) · </t>
    </r>
    <r>
      <rPr>
        <sz val="9"/>
        <color rgb="FF888888"/>
        <rFont val="Noto Sans CJK SC"/>
        <family val="2"/>
      </rPr>
      <t xml:space="preserve">런북 </t>
    </r>
    <r>
      <rPr>
        <sz val="9"/>
        <color rgb="FF888888"/>
        <rFont val="맑은 고딕"/>
        <family val="0"/>
        <charset val="1"/>
      </rPr>
      <t xml:space="preserve">§3·§4·§7 · </t>
    </r>
    <r>
      <rPr>
        <sz val="9"/>
        <color rgb="FF888888"/>
        <rFont val="Noto Sans CJK SC"/>
        <family val="2"/>
      </rPr>
      <t xml:space="preserve">배포 로그 </t>
    </r>
    <r>
      <rPr>
        <sz val="9"/>
        <color rgb="FF888888"/>
        <rFont val="맑은 고딕"/>
        <family val="0"/>
        <charset val="1"/>
      </rPr>
      <t xml:space="preserve">2026-10-06 · seongbin45/codyssey_final @ cfcfccc</t>
    </r>
  </si>
  <si>
    <r>
      <rPr>
        <sz val="9"/>
        <color rgb="FF666666"/>
        <rFont val="Noto Sans CJK SC"/>
        <family val="2"/>
      </rPr>
      <t xml:space="preserve">채우는 칸</t>
    </r>
    <r>
      <rPr>
        <sz val="9"/>
        <color rgb="FF666666"/>
        <rFont val="맑은 고딕"/>
        <family val="0"/>
        <charset val="1"/>
      </rPr>
      <t xml:space="preserve">: H(</t>
    </r>
    <r>
      <rPr>
        <sz val="9"/>
        <color rgb="FF666666"/>
        <rFont val="Noto Sans CJK SC"/>
        <family val="2"/>
      </rPr>
      <t xml:space="preserve">담당 확정</t>
    </r>
    <r>
      <rPr>
        <sz val="9"/>
        <color rgb="FF666666"/>
        <rFont val="맑은 고딕"/>
        <family val="0"/>
        <charset val="1"/>
      </rPr>
      <t xml:space="preserve">) · M(</t>
    </r>
    <r>
      <rPr>
        <sz val="9"/>
        <color rgb="FF666666"/>
        <rFont val="Noto Sans CJK SC"/>
        <family val="2"/>
      </rPr>
      <t xml:space="preserve">상태</t>
    </r>
    <r>
      <rPr>
        <sz val="9"/>
        <color rgb="FF666666"/>
        <rFont val="맑은 고딕"/>
        <family val="0"/>
        <charset val="1"/>
      </rPr>
      <t xml:space="preserve">) · N(</t>
    </r>
    <r>
      <rPr>
        <sz val="9"/>
        <color rgb="FF666666"/>
        <rFont val="Noto Sans CJK SC"/>
        <family val="2"/>
      </rPr>
      <t xml:space="preserve">발생일</t>
    </r>
    <r>
      <rPr>
        <sz val="9"/>
        <color rgb="FF666666"/>
        <rFont val="맑은 고딕"/>
        <family val="0"/>
        <charset val="1"/>
      </rPr>
      <t xml:space="preserve">) · O(</t>
    </r>
    <r>
      <rPr>
        <sz val="9"/>
        <color rgb="FF666666"/>
        <rFont val="Noto Sans CJK SC"/>
        <family val="2"/>
      </rPr>
      <t xml:space="preserve">비고</t>
    </r>
    <r>
      <rPr>
        <sz val="9"/>
        <color rgb="FF666666"/>
        <rFont val="맑은 고딕"/>
        <family val="0"/>
        <charset val="1"/>
      </rPr>
      <t xml:space="preserve">)  —  </t>
    </r>
    <r>
      <rPr>
        <sz val="9"/>
        <color rgb="FF666666"/>
        <rFont val="Noto Sans CJK SC"/>
        <family val="2"/>
      </rPr>
      <t xml:space="preserve">예시</t>
    </r>
    <r>
      <rPr>
        <sz val="9"/>
        <color rgb="FF666666"/>
        <rFont val="맑은 고딕"/>
        <family val="0"/>
        <charset val="1"/>
      </rPr>
      <t xml:space="preserve">) </t>
    </r>
    <r>
      <rPr>
        <sz val="9"/>
        <color rgb="FF666666"/>
        <rFont val="Noto Sans CJK SC"/>
        <family val="2"/>
      </rPr>
      <t xml:space="preserve">담당 확정 </t>
    </r>
    <r>
      <rPr>
        <sz val="9"/>
        <color rgb="FF666666"/>
        <rFont val="맑은 고딕"/>
        <family val="0"/>
        <charset val="1"/>
      </rPr>
      <t xml:space="preserve">'</t>
    </r>
    <r>
      <rPr>
        <sz val="9"/>
        <color rgb="FF666666"/>
        <rFont val="Noto Sans CJK SC"/>
        <family val="2"/>
      </rPr>
      <t xml:space="preserve">확정</t>
    </r>
    <r>
      <rPr>
        <sz val="9"/>
        <color rgb="FF666666"/>
        <rFont val="맑은 고딕"/>
        <family val="0"/>
        <charset val="1"/>
      </rPr>
      <t xml:space="preserve">', </t>
    </r>
    <r>
      <rPr>
        <sz val="9"/>
        <color rgb="FF666666"/>
        <rFont val="Noto Sans CJK SC"/>
        <family val="2"/>
      </rPr>
      <t xml:space="preserve">상태 </t>
    </r>
    <r>
      <rPr>
        <sz val="9"/>
        <color rgb="FF666666"/>
        <rFont val="맑은 고딕"/>
        <family val="0"/>
        <charset val="1"/>
      </rPr>
      <t xml:space="preserve">'</t>
    </r>
    <r>
      <rPr>
        <sz val="9"/>
        <color rgb="FF666666"/>
        <rFont val="Noto Sans CJK SC"/>
        <family val="2"/>
      </rPr>
      <t xml:space="preserve">발생</t>
    </r>
    <r>
      <rPr>
        <sz val="9"/>
        <color rgb="FF666666"/>
        <rFont val="맑은 고딕"/>
        <family val="0"/>
        <charset val="1"/>
      </rPr>
      <t xml:space="preserve">', </t>
    </r>
    <r>
      <rPr>
        <sz val="9"/>
        <color rgb="FF666666"/>
        <rFont val="Noto Sans CJK SC"/>
        <family val="2"/>
      </rPr>
      <t xml:space="preserve">발생일 </t>
    </r>
    <r>
      <rPr>
        <sz val="9"/>
        <color rgb="FF666666"/>
        <rFont val="맑은 고딕"/>
        <family val="0"/>
        <charset val="1"/>
      </rPr>
      <t xml:space="preserve">'2026-10-07'.  L(</t>
    </r>
    <r>
      <rPr>
        <sz val="9"/>
        <color rgb="FF666666"/>
        <rFont val="Noto Sans CJK SC"/>
        <family val="2"/>
      </rPr>
      <t xml:space="preserve">구현 상태</t>
    </r>
    <r>
      <rPr>
        <sz val="9"/>
        <color rgb="FF666666"/>
        <rFont val="맑은 고딕"/>
        <family val="0"/>
        <charset val="1"/>
      </rPr>
      <t xml:space="preserve">)</t>
    </r>
    <r>
      <rPr>
        <sz val="9"/>
        <color rgb="FF666666"/>
        <rFont val="Noto Sans CJK SC"/>
        <family val="2"/>
      </rPr>
      <t xml:space="preserve">는 </t>
    </r>
    <r>
      <rPr>
        <sz val="9"/>
        <color rgb="FF666666"/>
        <rFont val="맑은 고딕"/>
        <family val="0"/>
        <charset val="1"/>
      </rPr>
      <t xml:space="preserve">cfcfccc </t>
    </r>
    <r>
      <rPr>
        <sz val="9"/>
        <color rgb="FF666666"/>
        <rFont val="Noto Sans CJK SC"/>
        <family val="2"/>
      </rPr>
      <t xml:space="preserve">코드 </t>
    </r>
    <r>
      <rPr>
        <sz val="9"/>
        <color rgb="FF666666"/>
        <rFont val="맑은 고딕"/>
        <family val="0"/>
        <charset val="1"/>
      </rPr>
      <t xml:space="preserve">+ 2026-10-06 </t>
    </r>
    <r>
      <rPr>
        <sz val="9"/>
        <color rgb="FF666666"/>
        <rFont val="Noto Sans CJK SC"/>
        <family val="2"/>
      </rPr>
      <t xml:space="preserve">배포 로그 기준이며 근거 없이 고치지 마세요</t>
    </r>
    <r>
      <rPr>
        <sz val="9"/>
        <color rgb="FF666666"/>
        <rFont val="맑은 고딕"/>
        <family val="0"/>
        <charset val="1"/>
      </rPr>
      <t xml:space="preserve">.</t>
    </r>
  </si>
  <si>
    <t xml:space="preserve">ID</t>
  </si>
  <si>
    <t xml:space="preserve">증상</t>
  </si>
  <si>
    <t xml:space="preserve">발생 트리거</t>
  </si>
  <si>
    <t xml:space="preserve">첫 배포</t>
  </si>
  <si>
    <t xml:space="preserve">게이트</t>
  </si>
  <si>
    <t xml:space="preserve">지원</t>
  </si>
  <si>
    <t xml:space="preserve">즉시 조치</t>
  </si>
  <si>
    <t xml:space="preserve">확인 방법</t>
  </si>
  <si>
    <t xml:space="preserve">구현 상태</t>
  </si>
  <si>
    <t xml:space="preserve">발생일</t>
  </si>
  <si>
    <t xml:space="preserve">비고</t>
  </si>
  <si>
    <t xml:space="preserve">F01</t>
  </si>
  <si>
    <r>
      <rPr>
        <sz val="9"/>
        <rFont val="맑은 고딕"/>
        <family val="0"/>
        <charset val="1"/>
      </rPr>
      <t xml:space="preserve">Blueprint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render.yaml</t>
    </r>
    <r>
      <rPr>
        <sz val="9"/>
        <rFont val="Noto Sans CJK SC"/>
        <family val="2"/>
      </rPr>
      <t xml:space="preserve">을 못 찾음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배포 자체가 안 됨</t>
    </r>
    <r>
      <rPr>
        <sz val="9"/>
        <rFont val="맑은 고딕"/>
        <family val="0"/>
        <charset val="1"/>
      </rPr>
      <t xml:space="preserve">)</t>
    </r>
  </si>
  <si>
    <t xml:space="preserve">새 서비스 생성 시</t>
  </si>
  <si>
    <t xml:space="preserve">Y</t>
  </si>
  <si>
    <t xml:space="preserve">사전</t>
  </si>
  <si>
    <t xml:space="preserve">미확정</t>
  </si>
  <si>
    <t xml:space="preserve">—</t>
  </si>
  <si>
    <r>
      <rPr>
        <sz val="9"/>
        <rFont val="맑은 고딕"/>
        <family val="0"/>
        <charset val="1"/>
      </rPr>
      <t xml:space="preserve">render.yaml</t>
    </r>
    <r>
      <rPr>
        <sz val="9"/>
        <rFont val="Noto Sans CJK SC"/>
        <family val="2"/>
      </rPr>
      <t xml:space="preserve">을 배포 브랜치에 두고</t>
    </r>
    <r>
      <rPr>
        <sz val="9"/>
        <rFont val="맑은 고딕"/>
        <family val="0"/>
        <charset val="1"/>
      </rPr>
      <t xml:space="preserve">, Blueprint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기본 브랜치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에서 찾으므로 대시보드에서 브랜치를 명시 선택</t>
    </r>
  </si>
  <si>
    <r>
      <rPr>
        <sz val="9"/>
        <rFont val="맑은 고딕"/>
        <family val="0"/>
        <charset val="1"/>
      </rPr>
      <t xml:space="preserve">Deploys </t>
    </r>
    <r>
      <rPr>
        <sz val="9"/>
        <rFont val="Noto Sans CJK SC"/>
        <family val="2"/>
      </rPr>
      <t xml:space="preserve">페이지의 배포 방식</t>
    </r>
    <r>
      <rPr>
        <sz val="9"/>
        <rFont val="맑은 고딕"/>
        <family val="0"/>
        <charset val="1"/>
      </rPr>
      <t xml:space="preserve">(Blueprint/</t>
    </r>
    <r>
      <rPr>
        <sz val="9"/>
        <rFont val="Noto Sans CJK SC"/>
        <family val="2"/>
      </rPr>
      <t xml:space="preserve">수동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확인</t>
    </r>
  </si>
  <si>
    <t xml:space="preserve">미발생</t>
  </si>
  <si>
    <r>
      <rPr>
        <sz val="9"/>
        <rFont val="Noto Sans CJK SC"/>
        <family val="2"/>
      </rPr>
      <t xml:space="preserve">이번 서비스명이 </t>
    </r>
    <r>
      <rPr>
        <sz val="9"/>
        <rFont val="맑은 고딕"/>
        <family val="0"/>
        <charset val="1"/>
      </rPr>
      <t xml:space="preserve">render.yaml(codyssey-api)</t>
    </r>
    <r>
      <rPr>
        <sz val="9"/>
        <rFont val="Noto Sans CJK SC"/>
        <family val="2"/>
      </rPr>
      <t xml:space="preserve">이 아니라 </t>
    </r>
    <r>
      <rPr>
        <sz val="9"/>
        <rFont val="맑은 고딕"/>
        <family val="0"/>
        <charset val="1"/>
      </rPr>
      <t xml:space="preserve">codyssey-final → **Blueprint </t>
    </r>
    <r>
      <rPr>
        <sz val="9"/>
        <rFont val="Noto Sans CJK SC"/>
        <family val="2"/>
      </rPr>
      <t xml:space="preserve">미사용 가능성</t>
    </r>
    <r>
      <rPr>
        <sz val="9"/>
        <rFont val="맑은 고딕"/>
        <family val="0"/>
        <charset val="1"/>
      </rPr>
      <t xml:space="preserve">**. </t>
    </r>
    <r>
      <rPr>
        <sz val="9"/>
        <rFont val="Noto Sans CJK SC"/>
        <family val="2"/>
      </rPr>
      <t xml:space="preserve">배포 방식 확인 필요</t>
    </r>
  </si>
  <si>
    <t xml:space="preserve">F02</t>
  </si>
  <si>
    <r>
      <rPr>
        <sz val="9"/>
        <rFont val="Noto Sans CJK SC"/>
        <family val="2"/>
      </rPr>
      <t xml:space="preserve">배포는 됐는데 </t>
    </r>
    <r>
      <rPr>
        <sz val="9"/>
        <rFont val="맑은 고딕"/>
        <family val="0"/>
        <charset val="1"/>
      </rPr>
      <t xml:space="preserve">categories: [] → /generate </t>
    </r>
    <r>
      <rPr>
        <sz val="9"/>
        <rFont val="Noto Sans CJK SC"/>
        <family val="2"/>
      </rPr>
      <t xml:space="preserve">전부 </t>
    </r>
    <r>
      <rPr>
        <sz val="9"/>
        <rFont val="맑은 고딕"/>
        <family val="0"/>
        <charset val="1"/>
      </rPr>
      <t xml:space="preserve">404</t>
    </r>
  </si>
  <si>
    <t xml:space="preserve">G2</t>
  </si>
  <si>
    <r>
      <rPr>
        <sz val="9"/>
        <rFont val="맑은 고딕"/>
        <family val="0"/>
        <charset val="1"/>
      </rPr>
      <t xml:space="preserve">CONTRACT_DIR 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이미 코드에서 수정됨</t>
    </r>
    <r>
      <rPr>
        <sz val="9"/>
        <rFont val="맑은 고딕"/>
        <family val="0"/>
        <charset val="1"/>
      </rPr>
      <t xml:space="preserve">**. </t>
    </r>
    <r>
      <rPr>
        <sz val="9"/>
        <rFont val="Noto Sans CJK SC"/>
        <family val="2"/>
      </rPr>
      <t xml:space="preserve">그래도 비면 ① 환경변수 </t>
    </r>
    <r>
      <rPr>
        <sz val="9"/>
        <rFont val="맑은 고딕"/>
        <family val="0"/>
        <charset val="1"/>
      </rPr>
      <t xml:space="preserve">CONTRACT_DIR </t>
    </r>
    <r>
      <rPr>
        <sz val="9"/>
        <rFont val="Noto Sans CJK SC"/>
        <family val="2"/>
      </rPr>
      <t xml:space="preserve">오설정 ② 실행 위치</t>
    </r>
    <r>
      <rPr>
        <sz val="9"/>
        <rFont val="맑은 고딕"/>
        <family val="0"/>
        <charset val="1"/>
      </rPr>
      <t xml:space="preserve">(rootDir) </t>
    </r>
    <r>
      <rPr>
        <sz val="9"/>
        <rFont val="Noto Sans CJK SC"/>
        <family val="2"/>
      </rPr>
      <t xml:space="preserve">순서로 확인</t>
    </r>
  </si>
  <si>
    <r>
      <rPr>
        <sz val="9"/>
        <rFont val="맑은 고딕"/>
        <family val="0"/>
        <charset val="1"/>
      </rPr>
      <t xml:space="preserve">/health 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contract_dir · categories</t>
    </r>
  </si>
  <si>
    <r>
      <rPr>
        <b val="true"/>
        <sz val="9"/>
        <color rgb="FF1F4E79"/>
        <rFont val="Noto Sans CJK SC"/>
        <family val="2"/>
      </rPr>
      <t xml:space="preserve">구현됨 </t>
    </r>
    <r>
      <rPr>
        <b val="true"/>
        <sz val="9"/>
        <color rgb="FF1F4E79"/>
        <rFont val="맑은 고딕"/>
        <family val="0"/>
        <charset val="1"/>
      </rPr>
      <t xml:space="preserve">· </t>
    </r>
    <r>
      <rPr>
        <b val="true"/>
        <sz val="9"/>
        <color rgb="FF1F4E79"/>
        <rFont val="Noto Sans CJK SC"/>
        <family val="2"/>
      </rPr>
      <t xml:space="preserve">실환경 미검증</t>
    </r>
  </si>
  <si>
    <r>
      <rPr>
        <sz val="9"/>
        <rFont val="Noto Sans CJK SC"/>
        <family val="2"/>
      </rPr>
      <t xml:space="preserve">코드 경로는 </t>
    </r>
    <r>
      <rPr>
        <sz val="9"/>
        <rFont val="맑은 고딕"/>
        <family val="0"/>
        <charset val="1"/>
      </rPr>
      <t xml:space="preserve">REPO_ROOT/agent_contract </t>
    </r>
    <r>
      <rPr>
        <sz val="9"/>
        <rFont val="Noto Sans CJK SC"/>
        <family val="2"/>
      </rPr>
      <t xml:space="preserve">로 고정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배포 로그상 앱 기동 성공 — </t>
    </r>
    <r>
      <rPr>
        <sz val="9"/>
        <rFont val="맑은 고딕"/>
        <family val="0"/>
        <charset val="1"/>
      </rPr>
      <t xml:space="preserve">categories </t>
    </r>
    <r>
      <rPr>
        <sz val="9"/>
        <rFont val="Noto Sans CJK SC"/>
        <family val="2"/>
      </rPr>
      <t xml:space="preserve">값은 </t>
    </r>
    <r>
      <rPr>
        <sz val="9"/>
        <rFont val="맑은 고딕"/>
        <family val="0"/>
        <charset val="1"/>
      </rPr>
      <t xml:space="preserve">/health </t>
    </r>
    <r>
      <rPr>
        <sz val="9"/>
        <rFont val="Noto Sans CJK SC"/>
        <family val="2"/>
      </rPr>
      <t xml:space="preserve">본문 필요</t>
    </r>
  </si>
  <si>
    <t xml:space="preserve">F03</t>
  </si>
  <si>
    <r>
      <rPr>
        <sz val="9"/>
        <rFont val="Noto Sans CJK SC"/>
        <family val="2"/>
      </rPr>
      <t xml:space="preserve">검증이 꺼진 채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정상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으로 보임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가장 위험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</si>
  <si>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CONFIG_STRICT=1 </t>
    </r>
    <r>
      <rPr>
        <sz val="9"/>
        <rFont val="Noto Sans CJK SC"/>
        <family val="2"/>
      </rPr>
      <t xml:space="preserve">로 고정</t>
    </r>
    <r>
      <rPr>
        <sz val="9"/>
        <rFont val="맑은 고딕"/>
        <family val="0"/>
        <charset val="1"/>
      </rPr>
      <t xml:space="preserve">. config_problems </t>
    </r>
    <r>
      <rPr>
        <sz val="9"/>
        <rFont val="Noto Sans CJK SC"/>
        <family val="2"/>
      </rPr>
      <t xml:space="preserve">내용별로 </t>
    </r>
    <r>
      <rPr>
        <sz val="9"/>
        <rFont val="맑은 고딕"/>
        <family val="0"/>
        <charset val="1"/>
      </rPr>
      <t xml:space="preserve">jsonschema </t>
    </r>
    <r>
      <rPr>
        <sz val="9"/>
        <rFont val="Noto Sans CJK SC"/>
        <family val="2"/>
      </rPr>
      <t xml:space="preserve">설치</t>
    </r>
    <r>
      <rPr>
        <sz val="9"/>
        <rFont val="맑은 고딕"/>
        <family val="0"/>
        <charset val="1"/>
      </rPr>
      <t xml:space="preserve">·schema.json </t>
    </r>
    <r>
      <rPr>
        <sz val="9"/>
        <rFont val="Noto Sans CJK SC"/>
        <family val="2"/>
      </rPr>
      <t xml:space="preserve">배치 확인</t>
    </r>
  </si>
  <si>
    <r>
      <rPr>
        <sz val="9"/>
        <rFont val="맑은 고딕"/>
        <family val="0"/>
        <charset val="1"/>
      </rPr>
      <t xml:space="preserve">/health 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config_problems · schema_checker · status</t>
    </r>
  </si>
  <si>
    <r>
      <rPr>
        <sz val="9"/>
        <rFont val="Noto Sans CJK SC"/>
        <family val="2"/>
      </rPr>
      <t xml:space="preserve">배포 로그에 </t>
    </r>
    <r>
      <rPr>
        <sz val="9"/>
        <rFont val="맑은 고딕"/>
        <family val="0"/>
        <charset val="1"/>
      </rPr>
      <t xml:space="preserve">**jsonschema-4.26.0 </t>
    </r>
    <r>
      <rPr>
        <sz val="9"/>
        <rFont val="Noto Sans CJK SC"/>
        <family val="2"/>
      </rPr>
      <t xml:space="preserve">설치 확인</t>
    </r>
    <r>
      <rPr>
        <sz val="9"/>
        <rFont val="맑은 고딕"/>
        <family val="0"/>
        <charset val="1"/>
      </rPr>
      <t xml:space="preserve">** → schema_checker 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true </t>
    </r>
    <r>
      <rPr>
        <sz val="9"/>
        <rFont val="Noto Sans CJK SC"/>
        <family val="2"/>
      </rPr>
      <t xml:space="preserve">여야 함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본문 미확인</t>
    </r>
  </si>
  <si>
    <r>
      <rPr>
        <sz val="9"/>
        <rFont val="맑은 고딕"/>
        <family val="0"/>
        <charset val="1"/>
      </rPr>
      <t xml:space="preserve">has_api_key: false — </t>
    </r>
    <r>
      <rPr>
        <sz val="9"/>
        <rFont val="Noto Sans CJK SC"/>
        <family val="2"/>
      </rPr>
      <t xml:space="preserve">목업으로 돌고 있음</t>
    </r>
  </si>
  <si>
    <t xml:space="preserve">키 미등록 시 상시</t>
  </si>
  <si>
    <t xml:space="preserve">G3</t>
  </si>
  <si>
    <r>
      <rPr>
        <b val="true"/>
        <sz val="9"/>
        <color rgb="FF8A6A00"/>
        <rFont val="Noto Sans CJK SC"/>
        <family val="2"/>
      </rPr>
      <t xml:space="preserve">제한 </t>
    </r>
    <r>
      <rPr>
        <b val="true"/>
        <sz val="9"/>
        <color rgb="FF8A6A00"/>
        <rFont val="맑은 고딕"/>
        <family val="0"/>
        <charset val="1"/>
      </rPr>
      <t xml:space="preserve">Go</t>
    </r>
  </si>
  <si>
    <r>
      <rPr>
        <sz val="9"/>
        <rFont val="맑은 고딕"/>
        <family val="0"/>
        <charset val="1"/>
      </rPr>
      <t xml:space="preserve">Render Environment </t>
    </r>
    <r>
      <rPr>
        <sz val="9"/>
        <rFont val="Noto Sans CJK SC"/>
        <family val="2"/>
      </rPr>
      <t xml:space="preserve">에 </t>
    </r>
    <r>
      <rPr>
        <sz val="9"/>
        <rFont val="맑은 고딕"/>
        <family val="0"/>
        <charset val="1"/>
      </rPr>
      <t xml:space="preserve">GEMINI_API_KEY </t>
    </r>
    <r>
      <rPr>
        <sz val="9"/>
        <rFont val="Noto Sans CJK SC"/>
        <family val="2"/>
      </rPr>
      <t xml:space="preserve">등록 → 자동 재시작</t>
    </r>
  </si>
  <si>
    <t xml:space="preserve">/health has_api_key · /generate mock</t>
  </si>
  <si>
    <r>
      <rPr>
        <sz val="9"/>
        <rFont val="맑은 고딕"/>
        <family val="0"/>
        <charset val="1"/>
      </rPr>
      <t xml:space="preserve">google-genai-2.28.0 </t>
    </r>
    <r>
      <rPr>
        <sz val="9"/>
        <rFont val="Noto Sans CJK SC"/>
        <family val="2"/>
      </rPr>
      <t xml:space="preserve">은 로그상 설치됨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키 등록 여부는 미확인 — </t>
    </r>
    <r>
      <rPr>
        <sz val="9"/>
        <rFont val="맑은 고딕"/>
        <family val="0"/>
        <charset val="1"/>
      </rPr>
      <t xml:space="preserve">/health </t>
    </r>
    <r>
      <rPr>
        <sz val="9"/>
        <rFont val="Noto Sans CJK SC"/>
        <family val="2"/>
      </rPr>
      <t xml:space="preserve">본문 필요</t>
    </r>
  </si>
  <si>
    <t xml:space="preserve">F07</t>
  </si>
  <si>
    <r>
      <rPr>
        <sz val="9"/>
        <rFont val="Noto Sans CJK SC"/>
        <family val="2"/>
      </rPr>
      <t xml:space="preserve">콜드스타트 — 첫 요청이 </t>
    </r>
    <r>
      <rPr>
        <sz val="9"/>
        <rFont val="맑은 고딕"/>
        <family val="0"/>
        <charset val="1"/>
      </rPr>
      <t xml:space="preserve">30~60</t>
    </r>
    <r>
      <rPr>
        <sz val="9"/>
        <rFont val="Noto Sans CJK SC"/>
        <family val="2"/>
      </rPr>
      <t xml:space="preserve">초</t>
    </r>
  </si>
  <si>
    <t xml:space="preserve">상시</t>
  </si>
  <si>
    <t xml:space="preserve">G1</t>
  </si>
  <si>
    <r>
      <rPr>
        <sz val="9"/>
        <rFont val="맑은 고딕"/>
        <family val="0"/>
        <charset val="1"/>
      </rPr>
      <t xml:space="preserve">T-10</t>
    </r>
    <r>
      <rPr>
        <sz val="9"/>
        <rFont val="Noto Sans CJK SC"/>
        <family val="2"/>
      </rPr>
      <t xml:space="preserve">분 예열</t>
    </r>
    <r>
      <rPr>
        <sz val="9"/>
        <rFont val="맑은 고딕"/>
        <family val="0"/>
        <charset val="1"/>
      </rPr>
      <t xml:space="preserve">(curl /health). </t>
    </r>
    <r>
      <rPr>
        <sz val="9"/>
        <rFont val="Noto Sans CJK SC"/>
        <family val="2"/>
      </rPr>
      <t xml:space="preserve">판정 대상 아님 — </t>
    </r>
    <r>
      <rPr>
        <sz val="9"/>
        <rFont val="맑은 고딕"/>
        <family val="0"/>
        <charset val="1"/>
      </rPr>
      <t xml:space="preserve">60</t>
    </r>
    <r>
      <rPr>
        <sz val="9"/>
        <rFont val="Noto Sans CJK SC"/>
        <family val="2"/>
      </rPr>
      <t xml:space="preserve">초 재시도가 정답</t>
    </r>
  </si>
  <si>
    <t xml:space="preserve">스톱워치로 첫 요청 시간 측정</t>
  </si>
  <si>
    <r>
      <rPr>
        <sz val="9"/>
        <rFont val="Noto Sans CJK SC"/>
        <family val="2"/>
      </rPr>
      <t xml:space="preserve">배포 로그상 기동 후 계속 응답 — 현재는 스핀다운 상태가 아님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시연 전 재확인 필요</t>
    </r>
  </si>
  <si>
    <t xml:space="preserve">F08</t>
  </si>
  <si>
    <t xml:space="preserve">빌드 실패</t>
  </si>
  <si>
    <t xml:space="preserve">배포 시</t>
  </si>
  <si>
    <r>
      <rPr>
        <sz val="9"/>
        <rFont val="Noto Sans CJK SC"/>
        <family val="2"/>
      </rPr>
      <t xml:space="preserve">빌드 로그에서 실패 단계 확인 → 로컬 재현 → 재배포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캐시 의심 시 </t>
    </r>
    <r>
      <rPr>
        <sz val="9"/>
        <rFont val="맑은 고딕"/>
        <family val="0"/>
        <charset val="1"/>
      </rPr>
      <t xml:space="preserve">Clear build cache</t>
    </r>
  </si>
  <si>
    <r>
      <rPr>
        <sz val="9"/>
        <rFont val="맑은 고딕"/>
        <family val="0"/>
        <charset val="1"/>
      </rPr>
      <t xml:space="preserve">Deploys </t>
    </r>
    <r>
      <rPr>
        <sz val="9"/>
        <rFont val="Noto Sans CJK SC"/>
        <family val="2"/>
      </rPr>
      <t xml:space="preserve">페이지 빌드 로그</t>
    </r>
  </si>
  <si>
    <r>
      <rPr>
        <sz val="9"/>
        <rFont val="맑은 고딕"/>
        <family val="0"/>
        <charset val="1"/>
      </rPr>
      <t xml:space="preserve">**2026-10-06 16:41Z </t>
    </r>
    <r>
      <rPr>
        <sz val="9"/>
        <rFont val="Noto Sans CJK SC"/>
        <family val="2"/>
      </rPr>
      <t xml:space="preserve">빌드 성공</t>
    </r>
    <r>
      <rPr>
        <sz val="9"/>
        <rFont val="맑은 고딕"/>
        <family val="0"/>
        <charset val="1"/>
      </rPr>
      <t xml:space="preserve">** — </t>
    </r>
    <r>
      <rPr>
        <sz val="9"/>
        <rFont val="Noto Sans CJK SC"/>
        <family val="2"/>
      </rPr>
      <t xml:space="preserve">이번엔 미발생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의존성 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종이 </t>
    </r>
    <r>
      <rPr>
        <sz val="9"/>
        <rFont val="맑은 고딕"/>
        <family val="0"/>
        <charset val="1"/>
      </rPr>
      <t xml:space="preserve">requirements.txt </t>
    </r>
    <r>
      <rPr>
        <sz val="9"/>
        <rFont val="Noto Sans CJK SC"/>
        <family val="2"/>
      </rPr>
      <t xml:space="preserve">핀과 일치</t>
    </r>
  </si>
  <si>
    <t xml:space="preserve">F05</t>
  </si>
  <si>
    <r>
      <rPr>
        <sz val="9"/>
        <rFont val="맑은 고딕"/>
        <family val="0"/>
        <charset val="1"/>
      </rPr>
      <t xml:space="preserve">Gemini 429 — </t>
    </r>
    <r>
      <rPr>
        <sz val="9"/>
        <rFont val="Noto Sans CJK SC"/>
        <family val="2"/>
      </rPr>
      <t xml:space="preserve">할당량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레이트 초과</t>
    </r>
  </si>
  <si>
    <t xml:space="preserve">키 등록 직후</t>
  </si>
  <si>
    <t xml:space="preserve">N</t>
  </si>
  <si>
    <r>
      <rPr>
        <sz val="9"/>
        <rFont val="Noto Sans CJK SC"/>
        <family val="2"/>
      </rPr>
      <t xml:space="preserve">대기 → </t>
    </r>
    <r>
      <rPr>
        <sz val="9"/>
        <rFont val="맑은 고딕"/>
        <family val="0"/>
        <charset val="1"/>
      </rPr>
      <t xml:space="preserve">RATE_LIMIT </t>
    </r>
    <r>
      <rPr>
        <sz val="9"/>
        <rFont val="Noto Sans CJK SC"/>
        <family val="2"/>
      </rPr>
      <t xml:space="preserve">상향 → 사전 생성 후 저장으로 전환</t>
    </r>
  </si>
  <si>
    <r>
      <rPr>
        <sz val="9"/>
        <rFont val="맑은 고딕"/>
        <family val="0"/>
        <charset val="1"/>
      </rPr>
      <t xml:space="preserve">/generate error(429 · RESOURCE_EXHAUSTED) · </t>
    </r>
    <r>
      <rPr>
        <sz val="9"/>
        <rFont val="Noto Sans CJK SC"/>
        <family val="2"/>
      </rPr>
      <t xml:space="preserve">서버 로그</t>
    </r>
  </si>
  <si>
    <r>
      <rPr>
        <sz val="9"/>
        <rFont val="Noto Sans CJK SC"/>
        <family val="2"/>
      </rPr>
      <t xml:space="preserve">재시도</t>
    </r>
    <r>
      <rPr>
        <sz val="9"/>
        <rFont val="맑은 고딕"/>
        <family val="0"/>
        <charset val="1"/>
      </rPr>
      <t xml:space="preserve">(MAX_RETRIES=2)·attempts </t>
    </r>
    <r>
      <rPr>
        <sz val="9"/>
        <rFont val="Noto Sans CJK SC"/>
        <family val="2"/>
      </rPr>
      <t xml:space="preserve">응답 구현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실제 </t>
    </r>
    <r>
      <rPr>
        <sz val="9"/>
        <rFont val="맑은 고딕"/>
        <family val="0"/>
        <charset val="1"/>
      </rPr>
      <t xml:space="preserve">429 </t>
    </r>
    <r>
      <rPr>
        <sz val="9"/>
        <rFont val="Noto Sans CJK SC"/>
        <family val="2"/>
      </rPr>
      <t xml:space="preserve">미검증</t>
    </r>
  </si>
  <si>
    <t xml:space="preserve">F06</t>
  </si>
  <si>
    <r>
      <rPr>
        <sz val="9"/>
        <rFont val="맑은 고딕"/>
        <family val="0"/>
        <charset val="1"/>
      </rPr>
      <t xml:space="preserve">Gemini 503/500 — </t>
    </r>
    <r>
      <rPr>
        <sz val="9"/>
        <rFont val="Noto Sans CJK SC"/>
        <family val="2"/>
      </rPr>
      <t xml:space="preserve">모델 장애</t>
    </r>
  </si>
  <si>
    <r>
      <rPr>
        <sz val="9"/>
        <rFont val="Noto Sans CJK SC"/>
        <family val="2"/>
      </rPr>
      <t xml:space="preserve">대기 </t>
    </r>
    <r>
      <rPr>
        <sz val="9"/>
        <rFont val="맑은 고딕"/>
        <family val="0"/>
        <charset val="1"/>
      </rPr>
      <t xml:space="preserve">5~15</t>
    </r>
    <r>
      <rPr>
        <sz val="9"/>
        <rFont val="Noto Sans CJK SC"/>
        <family val="2"/>
      </rPr>
      <t xml:space="preserve">분 → </t>
    </r>
    <r>
      <rPr>
        <sz val="9"/>
        <rFont val="맑은 고딕"/>
        <family val="0"/>
        <charset val="1"/>
      </rPr>
      <t xml:space="preserve">GEMINI_MODEL </t>
    </r>
    <r>
      <rPr>
        <sz val="9"/>
        <rFont val="Noto Sans CJK SC"/>
        <family val="2"/>
      </rPr>
      <t xml:space="preserve">우회 → 스냅샷 시연 전환</t>
    </r>
  </si>
  <si>
    <r>
      <rPr>
        <sz val="9"/>
        <rFont val="맑은 고딕"/>
        <family val="0"/>
        <charset val="1"/>
      </rPr>
      <t xml:space="preserve">Google Cloud </t>
    </r>
    <r>
      <rPr>
        <sz val="9"/>
        <rFont val="Noto Sans CJK SC"/>
        <family val="2"/>
      </rPr>
      <t xml:space="preserve">상태 페이지 </t>
    </r>
    <r>
      <rPr>
        <sz val="9"/>
        <rFont val="맑은 고딕"/>
        <family val="0"/>
        <charset val="1"/>
      </rPr>
      <t xml:space="preserve">· /generate error(503)</t>
    </r>
  </si>
  <si>
    <r>
      <rPr>
        <sz val="9"/>
        <rFont val="Noto Sans CJK SC"/>
        <family val="2"/>
      </rPr>
      <t xml:space="preserve">재시도 </t>
    </r>
    <r>
      <rPr>
        <sz val="9"/>
        <rFont val="맑은 고딕"/>
        <family val="0"/>
        <charset val="1"/>
      </rPr>
      <t xml:space="preserve">+ degraded </t>
    </r>
    <r>
      <rPr>
        <sz val="9"/>
        <rFont val="Noto Sans CJK SC"/>
        <family val="2"/>
      </rPr>
      <t xml:space="preserve">반환 구현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실제 </t>
    </r>
    <r>
      <rPr>
        <sz val="9"/>
        <rFont val="맑은 고딕"/>
        <family val="0"/>
        <charset val="1"/>
      </rPr>
      <t xml:space="preserve">503 </t>
    </r>
    <r>
      <rPr>
        <sz val="9"/>
        <rFont val="Noto Sans CJK SC"/>
        <family val="2"/>
      </rPr>
      <t xml:space="preserve">미검증</t>
    </r>
  </si>
  <si>
    <r>
      <rPr>
        <sz val="9"/>
        <rFont val="Noto Sans CJK SC"/>
        <family val="2"/>
      </rPr>
      <t xml:space="preserve">비용 폭주 </t>
    </r>
    <r>
      <rPr>
        <sz val="9"/>
        <rFont val="맑은 고딕"/>
        <family val="0"/>
        <charset val="1"/>
      </rPr>
      <t xml:space="preserve">/ API </t>
    </r>
    <r>
      <rPr>
        <sz val="9"/>
        <rFont val="Noto Sans CJK SC"/>
        <family val="2"/>
      </rPr>
      <t xml:space="preserve">키 노출 의심</t>
    </r>
  </si>
  <si>
    <r>
      <rPr>
        <sz val="9"/>
        <rFont val="Noto Sans CJK SC"/>
        <family val="2"/>
      </rPr>
      <t xml:space="preserve">키 재발급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즉시 차단 → 할당량 한도 설정 → </t>
    </r>
    <r>
      <rPr>
        <sz val="9"/>
        <rFont val="맑은 고딕"/>
        <family val="0"/>
        <charset val="1"/>
      </rPr>
      <t xml:space="preserve">ALLOW_ORIGINS </t>
    </r>
    <r>
      <rPr>
        <sz val="9"/>
        <rFont val="Noto Sans CJK SC"/>
        <family val="2"/>
      </rPr>
      <t xml:space="preserve">축소</t>
    </r>
  </si>
  <si>
    <r>
      <rPr>
        <sz val="9"/>
        <rFont val="맑은 고딕"/>
        <family val="0"/>
        <charset val="1"/>
      </rPr>
      <t xml:space="preserve">Google Cloud · AI Studio </t>
    </r>
    <r>
      <rPr>
        <sz val="9"/>
        <rFont val="Noto Sans CJK SC"/>
        <family val="2"/>
      </rPr>
      <t xml:space="preserve">사용량</t>
    </r>
  </si>
  <si>
    <r>
      <rPr>
        <sz val="9"/>
        <rFont val="Noto Sans CJK SC"/>
        <family val="2"/>
      </rPr>
      <t xml:space="preserve">콘솔 설정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예산 알림은 자동 차단이 아님 — 할당량 한도가 실질 상한</t>
    </r>
  </si>
  <si>
    <t xml:space="preserve">F09</t>
  </si>
  <si>
    <r>
      <rPr>
        <sz val="9"/>
        <rFont val="Noto Sans CJK SC"/>
        <family val="2"/>
      </rPr>
      <t xml:space="preserve">검증 실패 결과가 학습 화면으로 넘어감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품질 사고</t>
    </r>
    <r>
      <rPr>
        <sz val="9"/>
        <rFont val="맑은 고딕"/>
        <family val="0"/>
        <charset val="1"/>
      </rPr>
      <t xml:space="preserve">)</t>
    </r>
  </si>
  <si>
    <t xml:space="preserve">프론트 연동 후</t>
  </si>
  <si>
    <t xml:space="preserve">G5</t>
  </si>
  <si>
    <r>
      <rPr>
        <sz val="9"/>
        <rFont val="맑은 고딕"/>
        <family val="0"/>
        <charset val="1"/>
      </rPr>
      <t xml:space="preserve">usable </t>
    </r>
    <r>
      <rPr>
        <sz val="9"/>
        <rFont val="Noto Sans CJK SC"/>
        <family val="2"/>
      </rPr>
      <t xml:space="preserve">게이트 유지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목업은 배지로 구분</t>
    </r>
  </si>
  <si>
    <r>
      <rPr>
        <sz val="9"/>
        <rFont val="맑은 고딕"/>
        <family val="0"/>
        <charset val="1"/>
      </rPr>
      <t xml:space="preserve">/generate usable </t>
    </r>
    <r>
      <rPr>
        <sz val="9"/>
        <rFont val="Noto Sans CJK SC"/>
        <family val="2"/>
      </rPr>
      <t xml:space="preserve">값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화면 표시 여부</t>
    </r>
  </si>
  <si>
    <r>
      <rPr>
        <b val="true"/>
        <sz val="9"/>
        <color rgb="FF1B6B3A"/>
        <rFont val="Noto Sans CJK SC"/>
        <family val="2"/>
      </rPr>
      <t xml:space="preserve">합성</t>
    </r>
    <r>
      <rPr>
        <b val="true"/>
        <sz val="9"/>
        <color rgb="FF1B6B3A"/>
        <rFont val="맑은 고딕"/>
        <family val="0"/>
        <charset val="1"/>
      </rPr>
      <t xml:space="preserve">·</t>
    </r>
    <r>
      <rPr>
        <b val="true"/>
        <sz val="9"/>
        <color rgb="FF1B6B3A"/>
        <rFont val="Noto Sans CJK SC"/>
        <family val="2"/>
      </rPr>
      <t xml:space="preserve">로컬 테스트 확인</t>
    </r>
  </si>
  <si>
    <r>
      <rPr>
        <sz val="9"/>
        <rFont val="Noto Sans CJK SC"/>
        <family val="2"/>
      </rPr>
      <t xml:space="preserve">합성 테스트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범위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클라이언트 응답 분기만 — 서버 의미 판정 정확성은 미검증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근거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응답 분기</t>
    </r>
    <r>
      <rPr>
        <sz val="9"/>
        <rFont val="맑은 고딕"/>
        <family val="0"/>
        <charset val="1"/>
      </rPr>
      <t xml:space="preserve">: degraded </t>
    </r>
    <r>
      <rPr>
        <sz val="9"/>
        <rFont val="Noto Sans CJK SC"/>
        <family val="2"/>
      </rPr>
      <t xml:space="preserve">우선 폐기</t>
    </r>
  </si>
  <si>
    <r>
      <rPr>
        <sz val="9"/>
        <rFont val="Noto Sans CJK SC"/>
        <family val="2"/>
      </rPr>
      <t xml:space="preserve">프론트가 죽은 백엔드를 가리킴 </t>
    </r>
    <r>
      <rPr>
        <sz val="9"/>
        <rFont val="맑은 고딕"/>
        <family val="0"/>
        <charset val="1"/>
      </rPr>
      <t xml:space="preserve">(CORS · URL)</t>
    </r>
  </si>
  <si>
    <r>
      <rPr>
        <sz val="9"/>
        <rFont val="Noto Sans CJK SC"/>
        <family val="2"/>
      </rPr>
      <t xml:space="preserve">화면과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같은 서비스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에서 서빙되면 </t>
    </r>
    <r>
      <rPr>
        <sz val="9"/>
        <rFont val="맑은 고딕"/>
        <family val="0"/>
        <charset val="1"/>
      </rPr>
      <t xml:space="preserve">ALLOW_ORIGINS </t>
    </r>
    <r>
      <rPr>
        <sz val="9"/>
        <rFont val="Noto Sans CJK SC"/>
        <family val="2"/>
      </rPr>
      <t xml:space="preserve">는 불필요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별도 도메인일 때만 추가</t>
    </r>
  </si>
  <si>
    <r>
      <rPr>
        <sz val="9"/>
        <rFont val="Noto Sans CJK SC"/>
        <family val="2"/>
      </rPr>
      <t xml:space="preserve">브라우저에서 화면 렌더링 확인 </t>
    </r>
    <r>
      <rPr>
        <sz val="9"/>
        <rFont val="맑은 고딕"/>
        <family val="0"/>
        <charset val="1"/>
      </rPr>
      <t xml:space="preserve">· /generate </t>
    </r>
    <r>
      <rPr>
        <sz val="9"/>
        <rFont val="Noto Sans CJK SC"/>
        <family val="2"/>
      </rPr>
      <t xml:space="preserve">호출 확인</t>
    </r>
  </si>
  <si>
    <r>
      <rPr>
        <b val="true"/>
        <sz val="9"/>
        <color rgb="FF1F5F5B"/>
        <rFont val="Noto Sans CJK SC"/>
        <family val="2"/>
      </rPr>
      <t xml:space="preserve">배포 로그 확인 </t>
    </r>
    <r>
      <rPr>
        <b val="true"/>
        <sz val="9"/>
        <color rgb="FF1F5F5B"/>
        <rFont val="맑은 고딕"/>
        <family val="0"/>
        <charset val="1"/>
      </rPr>
      <t xml:space="preserve">(</t>
    </r>
    <r>
      <rPr>
        <b val="true"/>
        <sz val="9"/>
        <color rgb="FF1F5F5B"/>
        <rFont val="Noto Sans CJK SC"/>
        <family val="2"/>
      </rPr>
      <t xml:space="preserve">부분</t>
    </r>
    <r>
      <rPr>
        <b val="true"/>
        <sz val="9"/>
        <color rgb="FF1F5F5B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</si>
  <si>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배포 로그</t>
    </r>
    <r>
      <rPr>
        <sz val="9"/>
        <rFont val="맑은 고딕"/>
        <family val="0"/>
        <charset val="1"/>
      </rPr>
      <t xml:space="preserve">: **GET / 200 · HEAD / 200** → </t>
    </r>
    <r>
      <rPr>
        <sz val="9"/>
        <rFont val="Noto Sans CJK SC"/>
        <family val="2"/>
      </rPr>
      <t xml:space="preserve">정적 서빙 응답 확인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내용 렌더링</t>
    </r>
    <r>
      <rPr>
        <sz val="9"/>
        <rFont val="맑은 고딕"/>
        <family val="0"/>
        <charset val="1"/>
      </rPr>
      <t xml:space="preserve">·API </t>
    </r>
    <r>
      <rPr>
        <sz val="9"/>
        <rFont val="Noto Sans CJK SC"/>
        <family val="2"/>
      </rPr>
      <t xml:space="preserve">호출은 미확인</t>
    </r>
  </si>
  <si>
    <t xml:space="preserve">F13</t>
  </si>
  <si>
    <t xml:space="preserve">시연 중 기억 데이터가 사라져 개인화가 안 보임</t>
  </si>
  <si>
    <r>
      <rPr>
        <sz val="9"/>
        <rFont val="Noto Sans CJK SC"/>
        <family val="2"/>
      </rPr>
      <t xml:space="preserve">데모 시드 준비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시연 기기 고정</t>
    </r>
  </si>
  <si>
    <r>
      <rPr>
        <sz val="9"/>
        <rFont val="Noto Sans CJK SC"/>
        <family val="2"/>
      </rPr>
      <t xml:space="preserve">다른 기기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브라우저로 열어 확인</t>
    </r>
  </si>
  <si>
    <r>
      <rPr>
        <sz val="9"/>
        <rFont val="Noto Sans CJK SC"/>
        <family val="2"/>
      </rPr>
      <t xml:space="preserve">합성 테스트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범위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저장 유틸만 — 세션 간 실제 복습 반영은 미검증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근거</t>
    </r>
    <r>
      <rPr>
        <sz val="9"/>
        <rFont val="맑은 고딕"/>
        <family val="0"/>
        <charset val="1"/>
      </rPr>
      <t xml:space="preserve">: loadWeak/saveWeak: </t>
    </r>
    <r>
      <rPr>
        <sz val="9"/>
        <rFont val="Noto Sans CJK SC"/>
        <family val="2"/>
      </rPr>
      <t xml:space="preserve">저장소 예외</t>
    </r>
  </si>
  <si>
    <t xml:space="preserve">F10</t>
  </si>
  <si>
    <r>
      <rPr>
        <sz val="9"/>
        <rFont val="Noto Sans CJK SC"/>
        <family val="2"/>
      </rPr>
      <t xml:space="preserve">무료 인스턴스 시간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대역폭 소진으로 서비스 정지</t>
    </r>
  </si>
  <si>
    <r>
      <rPr>
        <sz val="9"/>
        <rFont val="Noto Sans CJK SC"/>
        <family val="2"/>
      </rPr>
      <t xml:space="preserve">운영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개월 이상</t>
    </r>
  </si>
  <si>
    <r>
      <rPr>
        <sz val="9"/>
        <rFont val="Noto Sans CJK SC"/>
        <family val="2"/>
      </rPr>
      <t xml:space="preserve">함명자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일정 통제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</si>
  <si>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상시 트래픽 제거 → </t>
    </r>
    <r>
      <rPr>
        <sz val="9"/>
        <rFont val="맑은 고딕"/>
        <family val="0"/>
        <charset val="1"/>
      </rPr>
      <t xml:space="preserve">Billing </t>
    </r>
    <r>
      <rPr>
        <sz val="9"/>
        <rFont val="Noto Sans CJK SC"/>
        <family val="2"/>
      </rPr>
      <t xml:space="preserve">확인 → 로컬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스냅샷 시연 전환</t>
    </r>
  </si>
  <si>
    <t xml:space="preserve">Render Billing → Monthly Included Usage</t>
  </si>
  <si>
    <r>
      <rPr>
        <sz val="9"/>
        <rFont val="맑은 고딕"/>
        <family val="0"/>
        <charset val="1"/>
      </rPr>
      <t xml:space="preserve">10</t>
    </r>
    <r>
      <rPr>
        <sz val="9"/>
        <rFont val="Noto Sans CJK SC"/>
        <family val="2"/>
      </rPr>
      <t xml:space="preserve">월은 </t>
    </r>
    <r>
      <rPr>
        <sz val="9"/>
        <rFont val="맑은 고딕"/>
        <family val="0"/>
        <charset val="1"/>
      </rPr>
      <t xml:space="preserve">31</t>
    </r>
    <r>
      <rPr>
        <sz val="9"/>
        <rFont val="Noto Sans CJK SC"/>
        <family val="2"/>
      </rPr>
      <t xml:space="preserve">일</t>
    </r>
    <r>
      <rPr>
        <sz val="9"/>
        <rFont val="맑은 고딕"/>
        <family val="0"/>
        <charset val="1"/>
      </rPr>
      <t xml:space="preserve">=744</t>
    </r>
    <r>
      <rPr>
        <sz val="9"/>
        <rFont val="Noto Sans CJK SC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한도 </t>
    </r>
    <r>
      <rPr>
        <sz val="9"/>
        <rFont val="맑은 고딕"/>
        <family val="0"/>
        <charset val="1"/>
      </rPr>
      <t xml:space="preserve">750</t>
    </r>
    <r>
      <rPr>
        <sz val="9"/>
        <rFont val="Noto Sans CJK SC"/>
        <family val="2"/>
      </rPr>
      <t xml:space="preserve">시간 → 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상시 가동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개면 여유 </t>
    </r>
    <r>
      <rPr>
        <sz val="9"/>
        <rFont val="맑은 고딕"/>
        <family val="0"/>
        <charset val="1"/>
      </rPr>
      <t xml:space="preserve">6</t>
    </r>
    <r>
      <rPr>
        <sz val="9"/>
        <rFont val="Noto Sans CJK SC"/>
        <family val="2"/>
      </rPr>
      <t xml:space="preserve">시간</t>
    </r>
    <r>
      <rPr>
        <sz val="9"/>
        <rFont val="맑은 고딕"/>
        <family val="0"/>
        <charset val="1"/>
      </rPr>
      <t xml:space="preserve">**. </t>
    </r>
    <r>
      <rPr>
        <sz val="9"/>
        <rFont val="Noto Sans CJK SC"/>
        <family val="2"/>
      </rPr>
      <t xml:space="preserve">두 번째 서비스 추가 시 초과</t>
    </r>
  </si>
  <si>
    <r>
      <rPr>
        <sz val="9"/>
        <color rgb="FF888888"/>
        <rFont val="Noto Sans CJK SC"/>
        <family val="2"/>
      </rPr>
      <t xml:space="preserve">즉시 조치</t>
    </r>
    <r>
      <rPr>
        <sz val="9"/>
        <color rgb="FF888888"/>
        <rFont val="맑은 고딕"/>
        <family val="0"/>
        <charset val="1"/>
      </rPr>
      <t xml:space="preserve">·</t>
    </r>
    <r>
      <rPr>
        <sz val="9"/>
        <color rgb="FF888888"/>
        <rFont val="Noto Sans CJK SC"/>
        <family val="2"/>
      </rPr>
      <t xml:space="preserve">비고는 런북 원문과 대조했고</t>
    </r>
    <r>
      <rPr>
        <sz val="9"/>
        <color rgb="FF888888"/>
        <rFont val="맑은 고딕"/>
        <family val="0"/>
        <charset val="1"/>
      </rPr>
      <t xml:space="preserve">, </t>
    </r>
    <r>
      <rPr>
        <sz val="9"/>
        <color rgb="FF888888"/>
        <rFont val="Noto Sans CJK SC"/>
        <family val="2"/>
      </rPr>
      <t xml:space="preserve">구현 상태는 코드와 배포 로그 기준입니다</t>
    </r>
    <r>
      <rPr>
        <sz val="9"/>
        <color rgb="FF888888"/>
        <rFont val="맑은 고딕"/>
        <family val="0"/>
        <charset val="1"/>
      </rPr>
      <t xml:space="preserve">. </t>
    </r>
    <r>
      <rPr>
        <sz val="9"/>
        <color rgb="FF888888"/>
        <rFont val="Noto Sans CJK SC"/>
        <family val="2"/>
      </rPr>
      <t xml:space="preserve">브랜치가 움직이므로 재확인 필요</t>
    </r>
    <r>
      <rPr>
        <sz val="9"/>
        <color rgb="FF888888"/>
        <rFont val="맑은 고딕"/>
        <family val="0"/>
        <charset val="1"/>
      </rPr>
      <t xml:space="preserve">.</t>
    </r>
  </si>
  <si>
    <t xml:space="preserve">배포 직후 게이트 → 시나리오 매핑</t>
  </si>
  <si>
    <r>
      <rPr>
        <sz val="9"/>
        <color rgb="FF666666"/>
        <rFont val="맑은 고딕"/>
        <family val="0"/>
        <charset val="1"/>
      </rPr>
      <t xml:space="preserve">/health </t>
    </r>
    <r>
      <rPr>
        <sz val="9"/>
        <color rgb="FF666666"/>
        <rFont val="Noto Sans CJK SC"/>
        <family val="2"/>
      </rPr>
      <t xml:space="preserve">응답의 필드를 위에서 아래로 확인합니다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하나라도 어긋나면 배포 실패로 간주하고 해당 </t>
    </r>
    <r>
      <rPr>
        <sz val="9"/>
        <color rgb="FF666666"/>
        <rFont val="맑은 고딕"/>
        <family val="0"/>
        <charset val="1"/>
      </rPr>
      <t xml:space="preserve">F </t>
    </r>
    <r>
      <rPr>
        <sz val="9"/>
        <color rgb="FF666666"/>
        <rFont val="Noto Sans CJK SC"/>
        <family val="2"/>
      </rPr>
      <t xml:space="preserve">절차로 갑니다</t>
    </r>
    <r>
      <rPr>
        <sz val="9"/>
        <color rgb="FF666666"/>
        <rFont val="맑은 고딕"/>
        <family val="0"/>
        <charset val="1"/>
      </rPr>
      <t xml:space="preserve">.</t>
    </r>
  </si>
  <si>
    <t xml:space="preserve">확인 대상</t>
  </si>
  <si>
    <t xml:space="preserve">정상 값</t>
  </si>
  <si>
    <r>
      <rPr>
        <b val="true"/>
        <sz val="10"/>
        <color rgb="FFFFFFFF"/>
        <rFont val="Noto Sans CJK SC"/>
        <family val="2"/>
      </rPr>
      <t xml:space="preserve">아니면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시나리오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</si>
  <si>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서비스 응답</t>
  </si>
  <si>
    <r>
      <rPr>
        <sz val="9"/>
        <rFont val="맑은 고딕"/>
        <family val="0"/>
        <charset val="1"/>
      </rPr>
      <t xml:space="preserve">HTTP 200 · /health 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JSON </t>
    </r>
    <r>
      <rPr>
        <sz val="9"/>
        <rFont val="Noto Sans CJK SC"/>
        <family val="2"/>
      </rPr>
      <t xml:space="preserve">반환</t>
    </r>
  </si>
  <si>
    <r>
      <rPr>
        <sz val="9"/>
        <rFont val="맑은 고딕"/>
        <family val="0"/>
        <charset val="1"/>
      </rPr>
      <t xml:space="preserve">F01 render.yaml </t>
    </r>
    <r>
      <rPr>
        <sz val="9"/>
        <rFont val="Noto Sans CJK SC"/>
        <family val="2"/>
      </rPr>
      <t xml:space="preserve">없음 </t>
    </r>
    <r>
      <rPr>
        <sz val="9"/>
        <rFont val="맑은 고딕"/>
        <family val="0"/>
        <charset val="1"/>
      </rPr>
      <t xml:space="preserve">· F07 </t>
    </r>
    <r>
      <rPr>
        <sz val="9"/>
        <rFont val="Noto Sans CJK SC"/>
        <family val="2"/>
      </rPr>
      <t xml:space="preserve">콜드스타트 </t>
    </r>
    <r>
      <rPr>
        <sz val="9"/>
        <rFont val="맑은 고딕"/>
        <family val="0"/>
        <charset val="1"/>
      </rPr>
      <t xml:space="preserve">· F08 </t>
    </r>
    <r>
      <rPr>
        <sz val="9"/>
        <rFont val="Noto Sans CJK SC"/>
        <family val="2"/>
      </rPr>
      <t xml:space="preserve">빌드 실패</t>
    </r>
  </si>
  <si>
    <r>
      <rPr>
        <sz val="9"/>
        <rFont val="맑은 고딕"/>
        <family val="0"/>
        <charset val="1"/>
      </rPr>
      <t xml:space="preserve">No-Go (F07</t>
    </r>
    <r>
      <rPr>
        <sz val="9"/>
        <rFont val="Noto Sans CJK SC"/>
        <family val="2"/>
      </rPr>
      <t xml:space="preserve">은 재시도</t>
    </r>
    <r>
      <rPr>
        <sz val="9"/>
        <rFont val="맑은 고딕"/>
        <family val="0"/>
        <charset val="1"/>
      </rPr>
      <t xml:space="preserve">)</t>
    </r>
  </si>
  <si>
    <t xml:space="preserve">계약 로드</t>
  </si>
  <si>
    <r>
      <rPr>
        <sz val="9"/>
        <rFont val="맑은 고딕"/>
        <family val="0"/>
        <charset val="1"/>
      </rPr>
      <t xml:space="preserve">categories = ["restaurant"] · contract_dir = </t>
    </r>
    <r>
      <rPr>
        <sz val="9"/>
        <rFont val="Noto Sans CJK SC"/>
        <family val="2"/>
      </rPr>
      <t xml:space="preserve">저장소루트</t>
    </r>
    <r>
      <rPr>
        <sz val="9"/>
        <rFont val="맑은 고딕"/>
        <family val="0"/>
        <charset val="1"/>
      </rPr>
      <t xml:space="preserve">/agent_contract · schema_checker = true · status = ok</t>
    </r>
  </si>
  <si>
    <r>
      <rPr>
        <sz val="9"/>
        <rFont val="맑은 고딕"/>
        <family val="0"/>
        <charset val="1"/>
      </rPr>
      <t xml:space="preserve">F02 categories </t>
    </r>
    <r>
      <rPr>
        <sz val="9"/>
        <rFont val="Noto Sans CJK SC"/>
        <family val="2"/>
      </rPr>
      <t xml:space="preserve">빈 배열 </t>
    </r>
    <r>
      <rPr>
        <sz val="9"/>
        <rFont val="맑은 고딕"/>
        <family val="0"/>
        <charset val="1"/>
      </rPr>
      <t xml:space="preserve">· F03 schema_checker false·degraded</t>
    </r>
  </si>
  <si>
    <r>
      <rPr>
        <sz val="9"/>
        <rFont val="맑은 고딕"/>
        <family val="0"/>
        <charset val="1"/>
      </rPr>
      <t xml:space="preserve">AI </t>
    </r>
    <r>
      <rPr>
        <sz val="9"/>
        <rFont val="Noto Sans CJK SC"/>
        <family val="2"/>
      </rPr>
      <t xml:space="preserve">실동작</t>
    </r>
  </si>
  <si>
    <t xml:space="preserve">has_api_key = true · mock = false · usable = ok</t>
  </si>
  <si>
    <r>
      <rPr>
        <sz val="9"/>
        <rFont val="맑은 고딕"/>
        <family val="0"/>
        <charset val="1"/>
      </rPr>
      <t xml:space="preserve">F04 </t>
    </r>
    <r>
      <rPr>
        <sz val="9"/>
        <rFont val="Noto Sans CJK SC"/>
        <family val="2"/>
      </rPr>
      <t xml:space="preserve">키 미등록 </t>
    </r>
    <r>
      <rPr>
        <sz val="9"/>
        <rFont val="맑은 고딕"/>
        <family val="0"/>
        <charset val="1"/>
      </rPr>
      <t xml:space="preserve">· F05 429 · F06 503</t>
    </r>
  </si>
  <si>
    <r>
      <rPr>
        <sz val="9"/>
        <rFont val="Noto Sans CJK SC"/>
        <family val="2"/>
      </rPr>
      <t xml:space="preserve">제한 </t>
    </r>
    <r>
      <rPr>
        <sz val="9"/>
        <rFont val="맑은 고딕"/>
        <family val="0"/>
        <charset val="1"/>
      </rPr>
      <t xml:space="preserve">Go</t>
    </r>
  </si>
  <si>
    <r>
      <rPr>
        <sz val="9"/>
        <color rgb="FF666666"/>
        <rFont val="맑은 고딕"/>
        <family val="0"/>
        <charset val="1"/>
      </rPr>
      <t xml:space="preserve">Y (F04</t>
    </r>
    <r>
      <rPr>
        <sz val="9"/>
        <color rgb="FF666666"/>
        <rFont val="Noto Sans CJK SC"/>
        <family val="2"/>
      </rPr>
      <t xml:space="preserve">만</t>
    </r>
    <r>
      <rPr>
        <sz val="9"/>
        <color rgb="FF666666"/>
        <rFont val="맑은 고딕"/>
        <family val="0"/>
        <charset val="1"/>
      </rPr>
      <t xml:space="preserve">)</t>
    </r>
  </si>
  <si>
    <t xml:space="preserve">G4</t>
  </si>
  <si>
    <r>
      <rPr>
        <sz val="9"/>
        <rFont val="Noto Sans CJK SC"/>
        <family val="2"/>
      </rPr>
      <t xml:space="preserve">음성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멀티모달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</si>
  <si>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usable = true · heard </t>
    </r>
    <r>
      <rPr>
        <sz val="9"/>
        <rFont val="Noto Sans CJK SC"/>
        <family val="2"/>
      </rPr>
      <t xml:space="preserve">가 비어 있지 않음</t>
    </r>
  </si>
  <si>
    <t xml:space="preserve">음성 실패 → 멀티모달 요건이 걸림</t>
  </si>
  <si>
    <t xml:space="preserve">프론트 연동</t>
  </si>
  <si>
    <r>
      <rPr>
        <sz val="9"/>
        <rFont val="Noto Sans CJK SC"/>
        <family val="2"/>
      </rPr>
      <t xml:space="preserve">화면이 같은 서비스에서 서빙</t>
    </r>
    <r>
      <rPr>
        <sz val="9"/>
        <rFont val="맑은 고딕"/>
        <family val="0"/>
        <charset val="1"/>
      </rPr>
      <t xml:space="preserve">(GET / 200) · </t>
    </r>
    <r>
      <rPr>
        <sz val="9"/>
        <rFont val="Noto Sans CJK SC"/>
        <family val="2"/>
      </rPr>
      <t xml:space="preserve">입력→생성→카드→녹음→진도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회 통과</t>
    </r>
    <r>
      <rPr>
        <sz val="9"/>
        <rFont val="맑은 고딕"/>
        <family val="0"/>
        <charset val="1"/>
      </rPr>
      <t xml:space="preserve">. **</t>
    </r>
    <r>
      <rPr>
        <sz val="9"/>
        <rFont val="Noto Sans CJK SC"/>
        <family val="2"/>
      </rPr>
      <t xml:space="preserve">같은 출처면 </t>
    </r>
    <r>
      <rPr>
        <sz val="9"/>
        <rFont val="맑은 고딕"/>
        <family val="0"/>
        <charset val="1"/>
      </rPr>
      <t xml:space="preserve">ALLOW_ORIGINS </t>
    </r>
    <r>
      <rPr>
        <sz val="9"/>
        <rFont val="Noto Sans CJK SC"/>
        <family val="2"/>
      </rPr>
      <t xml:space="preserve">불필요</t>
    </r>
    <r>
      <rPr>
        <sz val="9"/>
        <rFont val="맑은 고딕"/>
        <family val="0"/>
        <charset val="1"/>
      </rPr>
      <t xml:space="preserve">**</t>
    </r>
  </si>
  <si>
    <r>
      <rPr>
        <sz val="9"/>
        <rFont val="맑은 고딕"/>
        <family val="0"/>
        <charset val="1"/>
      </rPr>
      <t xml:space="preserve">F09 usable </t>
    </r>
    <r>
      <rPr>
        <sz val="9"/>
        <rFont val="Noto Sans CJK SC"/>
        <family val="2"/>
      </rPr>
      <t xml:space="preserve">무시 </t>
    </r>
    <r>
      <rPr>
        <sz val="9"/>
        <rFont val="맑은 고딕"/>
        <family val="0"/>
        <charset val="1"/>
      </rPr>
      <t xml:space="preserve">· F12 </t>
    </r>
    <r>
      <rPr>
        <sz val="9"/>
        <rFont val="Noto Sans CJK SC"/>
        <family val="2"/>
      </rPr>
      <t xml:space="preserve">별도 도메인일 때 </t>
    </r>
    <r>
      <rPr>
        <sz val="9"/>
        <rFont val="맑은 고딕"/>
        <family val="0"/>
        <charset val="1"/>
      </rPr>
      <t xml:space="preserve">CORS</t>
    </r>
  </si>
  <si>
    <r>
      <rPr>
        <sz val="9"/>
        <rFont val="맑은 고딕"/>
        <family val="0"/>
        <charset val="1"/>
      </rPr>
      <t xml:space="preserve">Go (</t>
    </r>
    <r>
      <rPr>
        <sz val="9"/>
        <rFont val="Noto Sans CJK SC"/>
        <family val="2"/>
      </rPr>
      <t xml:space="preserve">백엔드 단독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</si>
  <si>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10"/>
        <color rgb="FF1F5F5B"/>
        <rFont val="맑은 고딕"/>
        <family val="0"/>
        <charset val="1"/>
      </rPr>
      <t xml:space="preserve">2026-10-06 </t>
    </r>
    <r>
      <rPr>
        <b val="true"/>
        <sz val="10"/>
        <color rgb="FF1F5F5B"/>
        <rFont val="Noto Sans CJK SC"/>
        <family val="2"/>
      </rPr>
      <t xml:space="preserve">배포 로그 기준</t>
    </r>
    <r>
      <rPr>
        <b val="true"/>
        <sz val="10"/>
        <color rgb="FF1F5F5B"/>
        <rFont val="맑은 고딕"/>
        <family val="0"/>
        <charset val="1"/>
      </rPr>
      <t xml:space="preserve">: GET / 200 · HEAD / 200 · GET /health 200 </t>
    </r>
    <r>
      <rPr>
        <b val="true"/>
        <sz val="10"/>
        <color rgb="FF1F5F5B"/>
        <rFont val="Noto Sans CJK SC"/>
        <family val="2"/>
      </rPr>
      <t xml:space="preserve">확인</t>
    </r>
    <r>
      <rPr>
        <b val="true"/>
        <sz val="10"/>
        <color rgb="FF1F5F5B"/>
        <rFont val="맑은 고딕"/>
        <family val="0"/>
        <charset val="1"/>
      </rPr>
      <t xml:space="preserve">. /health **</t>
    </r>
    <r>
      <rPr>
        <b val="true"/>
        <sz val="10"/>
        <color rgb="FF1F5F5B"/>
        <rFont val="Noto Sans CJK SC"/>
        <family val="2"/>
      </rPr>
      <t xml:space="preserve">본문</t>
    </r>
    <r>
      <rPr>
        <b val="true"/>
        <sz val="10"/>
        <color rgb="FF1F5F5B"/>
        <rFont val="맑은 고딕"/>
        <family val="0"/>
        <charset val="1"/>
      </rPr>
      <t xml:space="preserve">**</t>
    </r>
    <r>
      <rPr>
        <b val="true"/>
        <sz val="10"/>
        <color rgb="FF1F5F5B"/>
        <rFont val="Noto Sans CJK SC"/>
        <family val="2"/>
      </rPr>
      <t xml:space="preserve">은 미확인</t>
    </r>
    <r>
      <rPr>
        <b val="true"/>
        <sz val="10"/>
        <color rgb="FF1F5F5B"/>
        <rFont val="맑은 고딕"/>
        <family val="0"/>
        <charset val="1"/>
      </rPr>
      <t xml:space="preserve">.</t>
    </r>
  </si>
  <si>
    <r>
      <rPr>
        <b val="true"/>
        <sz val="10"/>
        <color rgb="FF8A1C1C"/>
        <rFont val="Noto Sans CJK SC"/>
        <family val="2"/>
      </rPr>
      <t xml:space="preserve">게이트 규칙</t>
    </r>
    <r>
      <rPr>
        <b val="true"/>
        <sz val="10"/>
        <color rgb="FF8A1C1C"/>
        <rFont val="맑은 고딕"/>
        <family val="0"/>
        <charset val="1"/>
      </rPr>
      <t xml:space="preserve">: </t>
    </r>
    <r>
      <rPr>
        <b val="true"/>
        <sz val="10"/>
        <color rgb="FF8A1C1C"/>
        <rFont val="Noto Sans CJK SC"/>
        <family val="2"/>
      </rPr>
      <t xml:space="preserve">하나라도 어긋나면 프론트를 붙이지 않습니다</t>
    </r>
    <r>
      <rPr>
        <b val="true"/>
        <sz val="10"/>
        <color rgb="FF8A1C1C"/>
        <rFont val="맑은 고딕"/>
        <family val="0"/>
        <charset val="1"/>
      </rPr>
      <t xml:space="preserve">. </t>
    </r>
    <r>
      <rPr>
        <b val="true"/>
        <sz val="10"/>
        <color rgb="FF8A1C1C"/>
        <rFont val="Noto Sans CJK SC"/>
        <family val="2"/>
      </rPr>
      <t xml:space="preserve">수정 후에는 반드시 </t>
    </r>
    <r>
      <rPr>
        <b val="true"/>
        <sz val="10"/>
        <color rgb="FF8A1C1C"/>
        <rFont val="맑은 고딕"/>
        <family val="0"/>
        <charset val="1"/>
      </rPr>
      <t xml:space="preserve">G1</t>
    </r>
    <r>
      <rPr>
        <b val="true"/>
        <sz val="10"/>
        <color rgb="FF8A1C1C"/>
        <rFont val="Noto Sans CJK SC"/>
        <family val="2"/>
      </rPr>
      <t xml:space="preserve">부터 다시 확인합니다</t>
    </r>
    <r>
      <rPr>
        <b val="true"/>
        <sz val="10"/>
        <color rgb="FF8A1C1C"/>
        <rFont val="맑은 고딕"/>
        <family val="0"/>
        <charset val="1"/>
      </rPr>
      <t xml:space="preserve">.</t>
    </r>
  </si>
  <si>
    <r>
      <rPr>
        <b val="true"/>
        <sz val="13"/>
        <color rgb="FF16324F"/>
        <rFont val="Noto Sans CJK SC"/>
        <family val="2"/>
      </rPr>
      <t xml:space="preserve">담당 배정 — 팀 합의 후 </t>
    </r>
    <r>
      <rPr>
        <b val="true"/>
        <sz val="13"/>
        <color rgb="FF16324F"/>
        <rFont val="맑은 고딕"/>
        <family val="0"/>
        <charset val="1"/>
      </rPr>
      <t xml:space="preserve">'</t>
    </r>
    <r>
      <rPr>
        <b val="true"/>
        <sz val="13"/>
        <color rgb="FF16324F"/>
        <rFont val="Noto Sans CJK SC"/>
        <family val="2"/>
      </rPr>
      <t xml:space="preserve">담당 확정</t>
    </r>
    <r>
      <rPr>
        <b val="true"/>
        <sz val="13"/>
        <color rgb="FF16324F"/>
        <rFont val="맑은 고딕"/>
        <family val="0"/>
        <charset val="1"/>
      </rPr>
      <t xml:space="preserve">'</t>
    </r>
    <r>
      <rPr>
        <b val="true"/>
        <sz val="13"/>
        <color rgb="FF16324F"/>
        <rFont val="Noto Sans CJK SC"/>
        <family val="2"/>
      </rPr>
      <t xml:space="preserve">을 확정으로 바꾸세요</t>
    </r>
  </si>
  <si>
    <r>
      <rPr>
        <sz val="9"/>
        <color rgb="FF8A1C1C"/>
        <rFont val="Noto Sans CJK SC"/>
        <family val="2"/>
      </rPr>
      <t xml:space="preserve">역할 배정은 아직 팀 합의 전입니다</t>
    </r>
    <r>
      <rPr>
        <sz val="9"/>
        <color rgb="FF8A1C1C"/>
        <rFont val="맑은 고딕"/>
        <family val="0"/>
        <charset val="1"/>
      </rPr>
      <t xml:space="preserve">. </t>
    </r>
    <r>
      <rPr>
        <sz val="9"/>
        <color rgb="FF8A1C1C"/>
        <rFont val="Noto Sans CJK SC"/>
        <family val="2"/>
      </rPr>
      <t xml:space="preserve">아래는 제안이며 확정이 아닙니다</t>
    </r>
    <r>
      <rPr>
        <sz val="9"/>
        <color rgb="FF8A1C1C"/>
        <rFont val="맑은 고딕"/>
        <family val="0"/>
        <charset val="1"/>
      </rPr>
      <t xml:space="preserve">. </t>
    </r>
    <r>
      <rPr>
        <sz val="9"/>
        <color rgb="FF8A1C1C"/>
        <rFont val="Noto Sans CJK SC"/>
        <family val="2"/>
      </rPr>
      <t xml:space="preserve">배포 담당 부재 시 대응이 전부 멈추므로 대리 담당을 반드시 지정하세요</t>
    </r>
    <r>
      <rPr>
        <sz val="9"/>
        <color rgb="FF8A1C1C"/>
        <rFont val="맑은 고딕"/>
        <family val="0"/>
        <charset val="1"/>
      </rPr>
      <t xml:space="preserve">.</t>
    </r>
  </si>
  <si>
    <t xml:space="preserve">이름</t>
  </si>
  <si>
    <r>
      <rPr>
        <b val="true"/>
        <sz val="10"/>
        <color rgb="FFFFFFFF"/>
        <rFont val="맑은 고딕"/>
        <family val="0"/>
        <charset val="1"/>
      </rPr>
      <t xml:space="preserve">GitHub </t>
    </r>
    <r>
      <rPr>
        <b val="true"/>
        <sz val="10"/>
        <color rgb="FFFFFFFF"/>
        <rFont val="Noto Sans CJK SC"/>
        <family val="2"/>
      </rPr>
      <t xml:space="preserve">계정</t>
    </r>
  </si>
  <si>
    <r>
      <rPr>
        <b val="true"/>
        <sz val="10"/>
        <color rgb="FFFFFFFF"/>
        <rFont val="Noto Sans CJK SC"/>
        <family val="2"/>
      </rPr>
      <t xml:space="preserve">역할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제안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</si>
  <si>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확인일</t>
  </si>
  <si>
    <t xml:space="preserve">seongbin45</t>
  </si>
  <si>
    <r>
      <rPr>
        <sz val="9"/>
        <rFont val="Noto Sans CJK SC"/>
        <family val="2"/>
      </rPr>
      <t xml:space="preserve">배포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백엔드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프론트 연동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통합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대응 </t>
    </r>
    <r>
      <rPr>
        <sz val="9"/>
        <rFont val="맑은 고딕"/>
        <family val="0"/>
        <charset val="1"/>
      </rPr>
      <t xml:space="preserve">13</t>
    </r>
    <r>
      <rPr>
        <sz val="9"/>
        <rFont val="Noto Sans CJK SC"/>
        <family val="2"/>
      </rPr>
      <t xml:space="preserve">건</t>
    </r>
  </si>
  <si>
    <r>
      <rPr>
        <sz val="9"/>
        <rFont val="Noto Sans CJK SC"/>
        <family val="2"/>
      </rPr>
      <t xml:space="preserve">시나리오 </t>
    </r>
    <r>
      <rPr>
        <sz val="9"/>
        <rFont val="맑은 고딕"/>
        <family val="0"/>
        <charset val="1"/>
      </rPr>
      <t xml:space="preserve">13</t>
    </r>
    <r>
      <rPr>
        <sz val="9"/>
        <rFont val="Noto Sans CJK SC"/>
        <family val="2"/>
      </rPr>
      <t xml:space="preserve">건 전부 단독 담당 — 대리 필수</t>
    </r>
  </si>
  <si>
    <t xml:space="preserve">한재정</t>
  </si>
  <si>
    <r>
      <rPr>
        <sz val="9"/>
        <rFont val="맑은 고딕"/>
        <family val="0"/>
        <charset val="1"/>
      </rPr>
      <t xml:space="preserve">(upstream owner — </t>
    </r>
    <r>
      <rPr>
        <sz val="9"/>
        <rFont val="Noto Sans CJK SC"/>
        <family val="2"/>
      </rPr>
      <t xml:space="preserve">확인 필요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</si>
  <si>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upstream </t>
    </r>
    <r>
      <rPr>
        <sz val="9"/>
        <rFont val="Noto Sans CJK SC"/>
        <family val="2"/>
      </rPr>
      <t xml:space="preserve">저장소 소유 </t>
    </r>
    <r>
      <rPr>
        <sz val="9"/>
        <rFont val="맑은 고딕"/>
        <family val="0"/>
        <charset val="1"/>
      </rPr>
      <t xml:space="preserve">· PR #1 </t>
    </r>
    <r>
      <rPr>
        <sz val="9"/>
        <rFont val="Noto Sans CJK SC"/>
        <family val="2"/>
      </rPr>
      <t xml:space="preserve">머지 승인</t>
    </r>
  </si>
  <si>
    <r>
      <rPr>
        <sz val="9"/>
        <rFont val="맑은 고딕"/>
        <family val="0"/>
        <charset val="1"/>
      </rPr>
      <t xml:space="preserve">PR #1 </t>
    </r>
    <r>
      <rPr>
        <sz val="9"/>
        <rFont val="Noto Sans CJK SC"/>
        <family val="2"/>
      </rPr>
      <t xml:space="preserve">이 </t>
    </r>
    <r>
      <rPr>
        <sz val="9"/>
        <rFont val="맑은 고딕"/>
        <family val="0"/>
        <charset val="1"/>
      </rPr>
      <t xml:space="preserve">2026-09-22</t>
    </r>
    <r>
      <rPr>
        <sz val="9"/>
        <rFont val="Noto Sans CJK SC"/>
        <family val="2"/>
      </rPr>
      <t xml:space="preserve">부터 </t>
    </r>
    <r>
      <rPr>
        <sz val="9"/>
        <rFont val="맑은 고딕"/>
        <family val="0"/>
        <charset val="1"/>
      </rPr>
      <t xml:space="preserve">open (</t>
    </r>
    <r>
      <rPr>
        <sz val="9"/>
        <rFont val="Noto Sans CJK SC"/>
        <family val="2"/>
      </rPr>
      <t xml:space="preserve">미확인 상태</t>
    </r>
    <r>
      <rPr>
        <sz val="9"/>
        <rFont val="맑은 고딕"/>
        <family val="0"/>
        <charset val="1"/>
      </rPr>
      <t xml:space="preserve">)</t>
    </r>
  </si>
  <si>
    <t xml:space="preserve">함명자</t>
  </si>
  <si>
    <r>
      <rPr>
        <sz val="9"/>
        <rFont val="Noto Sans CJK SC"/>
        <family val="2"/>
      </rPr>
      <t xml:space="preserve">팀장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문서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발표 </t>
    </r>
    <r>
      <rPr>
        <sz val="9"/>
        <rFont val="맑은 고딕"/>
        <family val="0"/>
        <charset val="1"/>
      </rPr>
      <t xml:space="preserve">· lodging </t>
    </r>
    <r>
      <rPr>
        <sz val="9"/>
        <rFont val="Noto Sans CJK SC"/>
        <family val="2"/>
      </rPr>
      <t xml:space="preserve">카테고리</t>
    </r>
  </si>
  <si>
    <r>
      <rPr>
        <sz val="9"/>
        <rFont val="Noto Sans CJK SC"/>
        <family val="2"/>
      </rPr>
      <t xml:space="preserve">일정 통제</t>
    </r>
    <r>
      <rPr>
        <sz val="9"/>
        <rFont val="맑은 고딕"/>
        <family val="0"/>
        <charset val="1"/>
      </rPr>
      <t xml:space="preserve">(F10) </t>
    </r>
    <r>
      <rPr>
        <sz val="9"/>
        <rFont val="Noto Sans CJK SC"/>
        <family val="2"/>
      </rPr>
      <t xml:space="preserve">지원</t>
    </r>
  </si>
  <si>
    <t xml:space="preserve">이영애</t>
  </si>
  <si>
    <r>
      <rPr>
        <sz val="9"/>
        <rFont val="맑은 고딕"/>
        <family val="0"/>
        <charset val="1"/>
      </rPr>
      <t xml:space="preserve">restaurant </t>
    </r>
    <r>
      <rPr>
        <sz val="9"/>
        <rFont val="Noto Sans CJK SC"/>
        <family val="2"/>
      </rPr>
      <t xml:space="preserve">카테고리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기준 파일 있음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</si>
  <si>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상황 </t>
    </r>
    <r>
      <rPr>
        <sz val="9"/>
        <rFont val="맑은 고딕"/>
        <family val="0"/>
        <charset val="1"/>
      </rPr>
      <t xml:space="preserve">10</t>
    </r>
    <r>
      <rPr>
        <sz val="9"/>
        <rFont val="Noto Sans CJK SC"/>
        <family val="2"/>
      </rPr>
      <t xml:space="preserve">개 작성</t>
    </r>
  </si>
  <si>
    <t xml:space="preserve">이창진</t>
  </si>
  <si>
    <r>
      <rPr>
        <sz val="9"/>
        <rFont val="맑은 고딕"/>
        <family val="0"/>
        <charset val="1"/>
      </rPr>
      <t xml:space="preserve">transport </t>
    </r>
    <r>
      <rPr>
        <sz val="9"/>
        <rFont val="Noto Sans CJK SC"/>
        <family val="2"/>
      </rPr>
      <t xml:space="preserve">카테고리</t>
    </r>
  </si>
  <si>
    <r>
      <rPr>
        <sz val="9"/>
        <rFont val="맑은 고딕"/>
        <family val="0"/>
        <charset val="1"/>
      </rPr>
      <t xml:space="preserve">Firestore·Auth </t>
    </r>
    <r>
      <rPr>
        <sz val="9"/>
        <rFont val="Noto Sans CJK SC"/>
        <family val="2"/>
      </rPr>
      <t xml:space="preserve">는 확장 단계</t>
    </r>
  </si>
  <si>
    <t xml:space="preserve">이주란</t>
  </si>
  <si>
    <r>
      <rPr>
        <sz val="9"/>
        <rFont val="Noto Sans CJK SC"/>
        <family val="2"/>
      </rPr>
      <t xml:space="preserve">검증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고정 발화 평가셋</t>
    </r>
  </si>
  <si>
    <t xml:space="preserve">규칙회귀 시트 실행</t>
  </si>
  <si>
    <r>
      <rPr>
        <b val="true"/>
        <sz val="10"/>
        <color rgb="FF8A1C1C"/>
        <rFont val="맑은 고딕"/>
        <family val="0"/>
        <charset val="1"/>
      </rPr>
      <t xml:space="preserve">(</t>
    </r>
    <r>
      <rPr>
        <b val="true"/>
        <sz val="10"/>
        <color rgb="FF8A1C1C"/>
        <rFont val="Noto Sans CJK SC"/>
        <family val="2"/>
      </rPr>
      <t xml:space="preserve">대리 담당</t>
    </r>
    <r>
      <rPr>
        <b val="true"/>
        <sz val="10"/>
        <color rgb="FF8A1C1C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</si>
  <si>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최성빈 부재 시 배포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대응 대행</t>
    </r>
  </si>
  <si>
    <t xml:space="preserve">필수 지정 — 비워두면 단일 장애점이 그대로 남습니다</t>
  </si>
  <si>
    <t xml:space="preserve">미확정 건수</t>
  </si>
  <si>
    <r>
      <rPr>
        <sz val="9"/>
        <color rgb="FF666666"/>
        <rFont val="Noto Sans CJK SC"/>
        <family val="2"/>
      </rPr>
      <t xml:space="preserve">협업 규칙</t>
    </r>
    <r>
      <rPr>
        <sz val="9"/>
        <color rgb="FF666666"/>
        <rFont val="맑은 고딕"/>
        <family val="0"/>
        <charset val="1"/>
      </rPr>
      <t xml:space="preserve">: ① git add -A </t>
    </r>
    <r>
      <rPr>
        <sz val="9"/>
        <color rgb="FF666666"/>
        <rFont val="Noto Sans CJK SC"/>
        <family val="2"/>
      </rPr>
      <t xml:space="preserve">금지 ② </t>
    </r>
    <r>
      <rPr>
        <sz val="9"/>
        <color rgb="FF666666"/>
        <rFont val="맑은 고딕"/>
        <family val="0"/>
        <charset val="1"/>
      </rPr>
      <t xml:space="preserve">git reset --hard </t>
    </r>
    <r>
      <rPr>
        <sz val="9"/>
        <color rgb="FF666666"/>
        <rFont val="Noto Sans CJK SC"/>
        <family val="2"/>
      </rPr>
      <t xml:space="preserve">금지 ③ </t>
    </r>
    <r>
      <rPr>
        <sz val="9"/>
        <color rgb="FF666666"/>
        <rFont val="맑은 고딕"/>
        <family val="0"/>
        <charset val="1"/>
      </rPr>
      <t xml:space="preserve">**</t>
    </r>
    <r>
      <rPr>
        <sz val="9"/>
        <color rgb="FF666666"/>
        <rFont val="Noto Sans CJK SC"/>
        <family val="2"/>
      </rPr>
      <t xml:space="preserve">마지막 정상 배포 이후 추가 배포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Noto Sans CJK SC"/>
        <family val="2"/>
      </rPr>
      <t xml:space="preserve">회 초과 금지</t>
    </r>
    <r>
      <rPr>
        <sz val="9"/>
        <color rgb="FF666666"/>
        <rFont val="맑은 고딕"/>
        <family val="0"/>
        <charset val="1"/>
      </rPr>
      <t xml:space="preserve">**(</t>
    </r>
    <r>
      <rPr>
        <sz val="9"/>
        <color rgb="FF666666"/>
        <rFont val="Noto Sans CJK SC"/>
        <family val="2"/>
      </rPr>
      <t xml:space="preserve">무료 플랜 롤백은 직전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Noto Sans CJK SC"/>
        <family val="2"/>
      </rPr>
      <t xml:space="preserve">개 배포만 보관</t>
    </r>
    <r>
      <rPr>
        <sz val="9"/>
        <color rgb="FF666666"/>
        <rFont val="맑은 고딕"/>
        <family val="0"/>
        <charset val="1"/>
      </rPr>
      <t xml:space="preserve">) ④ </t>
    </r>
    <r>
      <rPr>
        <sz val="9"/>
        <color rgb="FF666666"/>
        <rFont val="Noto Sans CJK SC"/>
        <family val="2"/>
      </rPr>
      <t xml:space="preserve">시연 전날 배포 동결</t>
    </r>
  </si>
  <si>
    <r>
      <rPr>
        <b val="true"/>
        <sz val="13"/>
        <color rgb="FF16324F"/>
        <rFont val="Noto Sans CJK SC"/>
        <family val="2"/>
      </rPr>
      <t xml:space="preserve">배포</t>
    </r>
    <r>
      <rPr>
        <b val="true"/>
        <sz val="13"/>
        <color rgb="FF16324F"/>
        <rFont val="맑은 고딕"/>
        <family val="0"/>
        <charset val="1"/>
      </rPr>
      <t xml:space="preserve">·</t>
    </r>
    <r>
      <rPr>
        <b val="true"/>
        <sz val="13"/>
        <color rgb="FF16324F"/>
        <rFont val="Noto Sans CJK SC"/>
        <family val="2"/>
      </rPr>
      <t xml:space="preserve">장애 기록 — 최신이 위</t>
    </r>
  </si>
  <si>
    <r>
      <rPr>
        <sz val="9"/>
        <color rgb="FF666666"/>
        <rFont val="Noto Sans CJK SC"/>
        <family val="2"/>
      </rPr>
      <t xml:space="preserve">같은 시나리오가 두 번 나오면 런북의 해당 </t>
    </r>
    <r>
      <rPr>
        <sz val="9"/>
        <color rgb="FF666666"/>
        <rFont val="맑은 고딕"/>
        <family val="0"/>
        <charset val="1"/>
      </rPr>
      <t xml:space="preserve">F </t>
    </r>
    <r>
      <rPr>
        <sz val="9"/>
        <color rgb="FF666666"/>
        <rFont val="Noto Sans CJK SC"/>
        <family val="2"/>
      </rPr>
      <t xml:space="preserve">항목을 고치세요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문서가 안 고쳐지면 같은 장애가 세 번 납니다</t>
    </r>
    <r>
      <rPr>
        <sz val="9"/>
        <color rgb="FF666666"/>
        <rFont val="맑은 고딕"/>
        <family val="0"/>
        <charset val="1"/>
      </rPr>
      <t xml:space="preserve">.</t>
    </r>
  </si>
  <si>
    <t xml:space="preserve">시각</t>
  </si>
  <si>
    <r>
      <rPr>
        <b val="true"/>
        <sz val="10"/>
        <color rgb="FFFFFFFF"/>
        <rFont val="Noto Sans CJK SC"/>
        <family val="2"/>
      </rPr>
      <t xml:space="preserve">내용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증상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결과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</si>
  <si>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판정 시나리오</t>
  </si>
  <si>
    <t xml:space="preserve">확인 근거</t>
  </si>
  <si>
    <t xml:space="preserve">조치 계층</t>
  </si>
  <si>
    <t xml:space="preserve">복구까지</t>
  </si>
  <si>
    <r>
      <rPr>
        <b val="true"/>
        <sz val="10"/>
        <color rgb="FFFFFFFF"/>
        <rFont val="Noto Sans CJK SC"/>
        <family val="2"/>
      </rPr>
      <t xml:space="preserve">남은 것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재발 방지</t>
    </r>
  </si>
  <si>
    <t xml:space="preserve">2026-10-06 16:41Z
(KST 10/07 01:41)</t>
  </si>
  <si>
    <r>
      <rPr>
        <b val="true"/>
        <sz val="9"/>
        <color rgb="FF1F5F5B"/>
        <rFont val="맑은 고딕"/>
        <family val="0"/>
        <charset val="1"/>
      </rPr>
      <t xml:space="preserve">**</t>
    </r>
    <r>
      <rPr>
        <b val="true"/>
        <sz val="9"/>
        <color rgb="FF1F5F5B"/>
        <rFont val="Noto Sans CJK SC"/>
        <family val="2"/>
      </rPr>
      <t xml:space="preserve">배포 성공 — 장애 아님</t>
    </r>
    <r>
      <rPr>
        <b val="true"/>
        <sz val="9"/>
        <color rgb="FF1F5F5B"/>
        <rFont val="맑은 고딕"/>
        <family val="0"/>
        <charset val="1"/>
      </rPr>
      <t xml:space="preserve">, </t>
    </r>
    <r>
      <rPr>
        <b val="true"/>
        <sz val="9"/>
        <color rgb="FF1F5F5B"/>
        <rFont val="Noto Sans CJK SC"/>
        <family val="2"/>
      </rPr>
      <t xml:space="preserve">기록용</t>
    </r>
    <r>
      <rPr>
        <b val="true"/>
        <sz val="9"/>
        <color rgb="FF1F5F5B"/>
        <rFont val="맑은 고딕"/>
        <family val="0"/>
        <charset val="1"/>
      </rPr>
      <t xml:space="preserve">**</t>
    </r>
  </si>
  <si>
    <r>
      <rPr>
        <sz val="9"/>
        <rFont val="Noto Sans CJK SC"/>
        <family val="2"/>
      </rPr>
      <t xml:space="preserve">빌드 </t>
    </r>
    <r>
      <rPr>
        <sz val="9"/>
        <rFont val="맑은 고딕"/>
        <family val="0"/>
        <charset val="1"/>
      </rPr>
      <t xml:space="preserve">successful · </t>
    </r>
    <r>
      <rPr>
        <sz val="9"/>
        <rFont val="Noto Sans CJK SC"/>
        <family val="2"/>
      </rPr>
      <t xml:space="preserve">서비스 </t>
    </r>
    <r>
      <rPr>
        <sz val="9"/>
        <rFont val="맑은 고딕"/>
        <family val="0"/>
        <charset val="1"/>
      </rPr>
      <t xml:space="preserve">live · GET / 200 · HEAD / 200 · GET /health 200 (</t>
    </r>
    <r>
      <rPr>
        <sz val="9"/>
        <rFont val="Noto Sans CJK SC"/>
        <family val="2"/>
      </rPr>
      <t xml:space="preserve">다수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</si>
  <si>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미확인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배포 브랜치</t>
    </r>
    <r>
      <rPr>
        <sz val="9"/>
        <rFont val="맑은 고딕"/>
        <family val="0"/>
        <charset val="1"/>
      </rPr>
      <t xml:space="preserve">·SHA, /health **</t>
    </r>
    <r>
      <rPr>
        <sz val="9"/>
        <rFont val="Noto Sans CJK SC"/>
        <family val="2"/>
      </rPr>
      <t xml:space="preserve">본문</t>
    </r>
    <r>
      <rPr>
        <sz val="9"/>
        <rFont val="맑은 고딕"/>
        <family val="0"/>
        <charset val="1"/>
      </rPr>
      <t xml:space="preserve">**, </t>
    </r>
    <r>
      <rPr>
        <sz val="9"/>
        <rFont val="Noto Sans CJK SC"/>
        <family val="2"/>
      </rPr>
      <t xml:space="preserve">실제 생성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말하기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서비스명 </t>
    </r>
    <r>
      <rPr>
        <sz val="9"/>
        <rFont val="맑은 고딕"/>
        <family val="0"/>
        <charset val="1"/>
      </rPr>
      <t xml:space="preserve">codyssey-final / PYTHON_VERSION </t>
    </r>
    <r>
      <rPr>
        <sz val="9"/>
        <rFont val="Noto Sans CJK SC"/>
        <family val="2"/>
      </rPr>
      <t xml:space="preserve">미적용 확인 필요</t>
    </r>
  </si>
  <si>
    <r>
      <rPr>
        <sz val="9"/>
        <color rgb="FF666666"/>
        <rFont val="Noto Sans CJK SC"/>
        <family val="2"/>
      </rPr>
      <t xml:space="preserve">롤백 </t>
    </r>
    <r>
      <rPr>
        <sz val="9"/>
        <color rgb="FF666666"/>
        <rFont val="맑은 고딕"/>
        <family val="0"/>
        <charset val="1"/>
      </rPr>
      <t xml:space="preserve">3</t>
    </r>
    <r>
      <rPr>
        <sz val="9"/>
        <color rgb="FF666666"/>
        <rFont val="Noto Sans CJK SC"/>
        <family val="2"/>
      </rPr>
      <t xml:space="preserve">계층 — 시연 중에는 </t>
    </r>
    <r>
      <rPr>
        <sz val="9"/>
        <color rgb="FF666666"/>
        <rFont val="맑은 고딕"/>
        <family val="0"/>
        <charset val="1"/>
      </rPr>
      <t xml:space="preserve">C(</t>
    </r>
    <r>
      <rPr>
        <sz val="9"/>
        <color rgb="FF666666"/>
        <rFont val="Noto Sans CJK SC"/>
        <family val="2"/>
      </rPr>
      <t xml:space="preserve">환경변수</t>
    </r>
    <r>
      <rPr>
        <sz val="9"/>
        <color rgb="FF666666"/>
        <rFont val="맑은 고딕"/>
        <family val="0"/>
        <charset val="1"/>
      </rPr>
      <t xml:space="preserve">) </t>
    </r>
    <r>
      <rPr>
        <sz val="9"/>
        <color rgb="FF666666"/>
        <rFont val="Noto Sans CJK SC"/>
        <family val="2"/>
      </rPr>
      <t xml:space="preserve">먼저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배포 없이 즉시</t>
    </r>
    <r>
      <rPr>
        <sz val="9"/>
        <color rgb="FF666666"/>
        <rFont val="맑은 고딕"/>
        <family val="0"/>
        <charset val="1"/>
      </rPr>
      <t xml:space="preserve">. A</t>
    </r>
    <r>
      <rPr>
        <sz val="9"/>
        <color rgb="FF666666"/>
        <rFont val="Noto Sans CJK SC"/>
        <family val="2"/>
      </rPr>
      <t xml:space="preserve">는 무료 플랜에서 직전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Noto Sans CJK SC"/>
        <family val="2"/>
      </rPr>
      <t xml:space="preserve">개 배포만 가능하며 새 배포가 창을 소모합니다</t>
    </r>
    <r>
      <rPr>
        <sz val="9"/>
        <color rgb="FF666666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</si>
</sst>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6324F"/>
      <name val="Noto Sans CJK SC"/>
      <family val="2"/>
    </font>
    <font>
      <b val="true"/>
      <sz val="15"/>
      <color rgb="FF16324F"/>
      <name val="맑은 고딕"/>
      <family val="0"/>
      <charset val="1"/>
    </font>
    <font>
      <b val="true"/>
      <sz val="9"/>
      <color rgb="FF8A1C1C"/>
      <name val="Noto Sans CJK SC"/>
      <family val="2"/>
    </font>
    <font>
      <b val="true"/>
      <sz val="9"/>
      <color rgb="FF8A1C1C"/>
      <name val="맑은 고딕"/>
      <family val="0"/>
      <charset val="1"/>
    </font>
    <font>
      <b val="true"/>
      <sz val="11"/>
      <color rgb="FF1B6B3A"/>
      <name val="맑은 고딕"/>
      <family val="0"/>
      <charset val="1"/>
    </font>
    <font>
      <b val="true"/>
      <sz val="11"/>
      <color rgb="FF1B6B3A"/>
      <name val="Noto Sans CJK SC"/>
      <family val="2"/>
    </font>
    <font>
      <b val="true"/>
      <sz val="10"/>
      <color rgb="FF16324F"/>
      <name val="Noto Sans CJK SC"/>
      <family val="2"/>
    </font>
    <font>
      <sz val="10"/>
      <name val="맑은 고딕"/>
      <family val="0"/>
      <charset val="1"/>
    </font>
    <font>
      <b val="true"/>
      <sz val="10"/>
      <color rgb="FF16324F"/>
      <name val="맑은 고딕"/>
      <family val="0"/>
      <charset val="1"/>
    </font>
    <font>
      <sz val="10"/>
      <name val="Noto Sans CJK SC"/>
      <family val="2"/>
    </font>
    <font>
      <b val="true"/>
      <sz val="11"/>
      <color rgb="FF2E5C8A"/>
      <name val="맑은 고딕"/>
      <family val="0"/>
      <charset val="1"/>
    </font>
    <font>
      <b val="true"/>
      <sz val="11"/>
      <color rgb="FF2E5C8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color rgb="FF8A1C1C"/>
      <name val="Noto Sans CJK SC"/>
      <family val="2"/>
    </font>
    <font>
      <b val="true"/>
      <sz val="10"/>
      <color rgb="FF8A1C1C"/>
      <name val="맑은 고딕"/>
      <family val="0"/>
      <charset val="1"/>
    </font>
    <font>
      <b val="true"/>
      <sz val="10"/>
      <color rgb="FF666666"/>
      <name val="Noto Sans CJK SC"/>
      <family val="2"/>
    </font>
    <font>
      <b val="true"/>
      <sz val="10"/>
      <color rgb="FF8A6A00"/>
      <name val="Noto Sans CJK SC"/>
      <family val="2"/>
    </font>
    <font>
      <b val="true"/>
      <sz val="10"/>
      <color rgb="FF8A6A00"/>
      <name val="맑은 고딕"/>
      <family val="0"/>
      <charset val="1"/>
    </font>
    <font>
      <b val="true"/>
      <sz val="10"/>
      <color rgb="FF1B6B3A"/>
      <name val="Noto Sans CJK SC"/>
      <family val="2"/>
    </font>
    <font>
      <b val="true"/>
      <sz val="10"/>
      <color rgb="FF1B6B3A"/>
      <name val="맑은 고딕"/>
      <family val="0"/>
      <charset val="1"/>
    </font>
    <font>
      <b val="true"/>
      <sz val="10"/>
      <color rgb="FF1F5F5B"/>
      <name val="Noto Sans CJK SC"/>
      <family val="2"/>
    </font>
    <font>
      <b val="true"/>
      <sz val="10"/>
      <color rgb="FF1F5F5B"/>
      <name val="맑은 고딕"/>
      <family val="0"/>
      <charset val="1"/>
    </font>
    <font>
      <sz val="9"/>
      <color rgb="FF888888"/>
      <name val="Noto Sans CJK SC"/>
      <family val="2"/>
    </font>
    <font>
      <sz val="9"/>
      <color rgb="FF888888"/>
      <name val="맑은 고딕"/>
      <family val="0"/>
      <charset val="1"/>
    </font>
    <font>
      <sz val="9"/>
      <color rgb="FF666666"/>
      <name val="Noto Sans CJK SC"/>
      <family val="2"/>
    </font>
    <font>
      <sz val="9"/>
      <color rgb="FF666666"/>
      <name val="맑은 고딕"/>
      <family val="0"/>
      <charset val="1"/>
    </font>
    <font>
      <sz val="9"/>
      <name val="맑은 고딕"/>
      <family val="0"/>
      <charset val="1"/>
    </font>
    <font>
      <sz val="9"/>
      <name val="Noto Sans CJK SC"/>
      <family val="2"/>
    </font>
    <font>
      <b val="true"/>
      <sz val="10"/>
      <color rgb="FF1F4E79"/>
      <name val="맑은 고딕"/>
      <family val="0"/>
      <charset val="1"/>
    </font>
    <font>
      <b val="true"/>
      <sz val="9"/>
      <color rgb="FF8A6A00"/>
      <name val="Noto Sans CJK SC"/>
      <family val="2"/>
    </font>
    <font>
      <b val="true"/>
      <sz val="9"/>
      <color rgb="FF666666"/>
      <name val="Noto Sans CJK SC"/>
      <family val="2"/>
    </font>
    <font>
      <b val="true"/>
      <sz val="9"/>
      <color rgb="FF1F4E79"/>
      <name val="Noto Sans CJK SC"/>
      <family val="2"/>
    </font>
    <font>
      <b val="true"/>
      <sz val="9"/>
      <color rgb="FF1F4E79"/>
      <name val="맑은 고딕"/>
      <family val="0"/>
      <charset val="1"/>
    </font>
    <font>
      <b val="true"/>
      <sz val="9"/>
      <color rgb="FF8A6A00"/>
      <name val="맑은 고딕"/>
      <family val="0"/>
      <charset val="1"/>
    </font>
    <font>
      <b val="true"/>
      <sz val="9"/>
      <color rgb="FF4A3A7A"/>
      <name val="Noto Sans CJK SC"/>
      <family val="2"/>
    </font>
    <font>
      <sz val="10"/>
      <color rgb="FF666666"/>
      <name val="맑은 고딕"/>
      <family val="0"/>
      <charset val="1"/>
    </font>
    <font>
      <b val="true"/>
      <sz val="9"/>
      <color rgb="FF1B6B3A"/>
      <name val="Noto Sans CJK SC"/>
      <family val="2"/>
    </font>
    <font>
      <b val="true"/>
      <sz val="9"/>
      <color rgb="FF1B6B3A"/>
      <name val="맑은 고딕"/>
      <family val="0"/>
      <charset val="1"/>
    </font>
    <font>
      <b val="true"/>
      <sz val="9"/>
      <color rgb="FF1F5F5B"/>
      <name val="Noto Sans CJK SC"/>
      <family val="2"/>
    </font>
    <font>
      <b val="true"/>
      <sz val="9"/>
      <color rgb="FF1F5F5B"/>
      <name val="맑은 고딕"/>
      <family val="0"/>
      <charset val="1"/>
    </font>
    <font>
      <b val="true"/>
      <sz val="13"/>
      <color rgb="FF16324F"/>
      <name val="Noto Sans CJK SC"/>
      <family val="2"/>
    </font>
    <font>
      <b val="true"/>
      <sz val="11"/>
      <color rgb="FF1F4E79"/>
      <name val="맑은 고딕"/>
      <family val="0"/>
      <charset val="1"/>
    </font>
    <font>
      <b val="true"/>
      <sz val="13"/>
      <color rgb="FF16324F"/>
      <name val="맑은 고딕"/>
      <family val="0"/>
      <charset val="1"/>
    </font>
    <font>
      <sz val="9"/>
      <color rgb="FF8A1C1C"/>
      <name val="Noto Sans CJK SC"/>
      <family val="2"/>
    </font>
    <font>
      <sz val="9"/>
      <color rgb="FF8A1C1C"/>
      <name val="맑은 고딕"/>
      <family val="0"/>
      <charset val="1"/>
    </font>
    <font>
      <b val="true"/>
      <sz val="11"/>
      <color rgb="FF8A1C1C"/>
      <name val="맑은 고딕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BE0E0"/>
        <bgColor rgb="FFE8E2F5"/>
      </patternFill>
    </fill>
    <fill>
      <patternFill patternType="solid">
        <fgColor rgb="FF16324F"/>
        <bgColor rgb="FF1F4E79"/>
      </patternFill>
    </fill>
    <fill>
      <patternFill patternType="solid">
        <fgColor rgb="FFFFFFFF"/>
        <bgColor rgb="FFFAFBFC"/>
      </patternFill>
    </fill>
    <fill>
      <patternFill patternType="solid">
        <fgColor rgb="FFEEEFF1"/>
        <bgColor rgb="FFE8E2F5"/>
      </patternFill>
    </fill>
    <fill>
      <patternFill patternType="solid">
        <fgColor rgb="FFFFF3CD"/>
        <bgColor rgb="FFFFF9E6"/>
      </patternFill>
    </fill>
    <fill>
      <patternFill patternType="solid">
        <fgColor rgb="FFDCF0E2"/>
        <bgColor rgb="FFD9F0EE"/>
      </patternFill>
    </fill>
    <fill>
      <patternFill patternType="solid">
        <fgColor rgb="FFD9F0EE"/>
        <bgColor rgb="FFDCF0E2"/>
      </patternFill>
    </fill>
    <fill>
      <patternFill patternType="solid">
        <fgColor rgb="FFDCE9F7"/>
        <bgColor rgb="FFD9F0EE"/>
      </patternFill>
    </fill>
    <fill>
      <patternFill patternType="solid">
        <fgColor rgb="FFFFF9E6"/>
        <bgColor rgb="FFFAFBFC"/>
      </patternFill>
    </fill>
    <fill>
      <patternFill patternType="solid">
        <fgColor rgb="FFE8E2F5"/>
        <bgColor rgb="FFDCE9F7"/>
      </patternFill>
    </fill>
    <fill>
      <patternFill patternType="solid">
        <fgColor rgb="FFFAFB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DD6"/>
      </left>
      <right style="thin">
        <color rgb="FFC6CDD6"/>
      </right>
      <top style="thin">
        <color rgb="FFC6CDD6"/>
      </top>
      <bottom style="thin">
        <color rgb="FFC6C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632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9F7"/>
          <bgColor rgb="FF000000"/>
        </patternFill>
      </fill>
    </dxf>
    <dxf>
      <fill>
        <patternFill patternType="solid">
          <fgColor rgb="FFEEEFF1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DCF0E2"/>
          <bgColor rgb="FF000000"/>
        </patternFill>
      </fill>
    </dxf>
    <dxf>
      <fill>
        <patternFill patternType="solid">
          <fgColor rgb="FFFBE0E0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B6B3A"/>
          <bgColor rgb="FF000000"/>
        </patternFill>
      </fill>
    </dxf>
    <dxf>
      <fill>
        <patternFill patternType="solid">
          <fgColor rgb="FF8A1C1C"/>
          <bgColor rgb="FF000000"/>
        </patternFill>
      </fill>
    </dxf>
    <dxf>
      <fill>
        <patternFill patternType="solid">
          <fgColor rgb="FF8A6A00"/>
          <bgColor rgb="FF000000"/>
        </patternFill>
      </fill>
    </dxf>
    <dxf>
      <fill>
        <patternFill patternType="solid">
          <fgColor rgb="FFD9F0EE"/>
          <bgColor rgb="FF000000"/>
        </patternFill>
      </fill>
    </dxf>
    <dxf>
      <fill>
        <patternFill patternType="solid">
          <fgColor rgb="FFE8E2F5"/>
          <bgColor rgb="FF000000"/>
        </patternFill>
      </fill>
    </dxf>
    <dxf>
      <fill>
        <patternFill patternType="solid">
          <fgColor rgb="FF1F5F5B"/>
          <bgColor rgb="FF000000"/>
        </patternFill>
      </fill>
    </dxf>
    <dxf>
      <fill>
        <patternFill patternType="solid">
          <fgColor rgb="FF4A3A7A"/>
          <bgColor rgb="FF000000"/>
        </patternFill>
      </fill>
    </dxf>
    <dxf>
      <fill>
        <patternFill patternType="solid">
          <fgColor rgb="FFFFF9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8A6A00"/>
      <rgbColor rgb="FF800080"/>
      <rgbColor rgb="FF1F5F5B"/>
      <rgbColor rgb="FFC6CDD6"/>
      <rgbColor rgb="FF888888"/>
      <rgbColor rgb="FF9999FF"/>
      <rgbColor rgb="FF993366"/>
      <rgbColor rgb="FFFFF3CD"/>
      <rgbColor rgb="FFD9F0EE"/>
      <rgbColor rgb="FF660066"/>
      <rgbColor rgb="FFFF8080"/>
      <rgbColor rgb="FF2E5C8A"/>
      <rgbColor rgb="FFE8E2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7"/>
      <rgbColor rgb="FFDCF0E2"/>
      <rgbColor rgb="FFFFF9E6"/>
      <rgbColor rgb="FFEEEFF1"/>
      <rgbColor rgb="FFFAFBFC"/>
      <rgbColor rgb="FFCC99FF"/>
      <rgbColor rgb="FFFB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6324F"/>
      <rgbColor rgb="FF339966"/>
      <rgbColor rgb="FF003300"/>
      <rgbColor rgb="FF333300"/>
      <rgbColor rgb="FF8A1C1C"/>
      <rgbColor rgb="FF993366"/>
      <rgbColor rgb="FF4A3A7A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7.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  <c r="E5" s="5"/>
    </row>
    <row r="6" customFormat="false" ht="15" hidden="false" customHeight="true" outlineLevel="0" collapsed="false">
      <c r="A6" s="6" t="s">
        <v>5</v>
      </c>
      <c r="B6" s="5" t="s">
        <v>6</v>
      </c>
      <c r="C6" s="5"/>
      <c r="D6" s="5"/>
      <c r="E6" s="5"/>
    </row>
    <row r="7" customFormat="false" ht="15" hidden="false" customHeight="true" outlineLevel="0" collapsed="false">
      <c r="A7" s="4" t="s">
        <v>7</v>
      </c>
      <c r="B7" s="5" t="s">
        <v>8</v>
      </c>
      <c r="C7" s="5"/>
      <c r="D7" s="5"/>
      <c r="E7" s="5"/>
    </row>
    <row r="8" customFormat="false" ht="15" hidden="false" customHeight="true" outlineLevel="0" collapsed="false">
      <c r="A8" s="4" t="s">
        <v>9</v>
      </c>
      <c r="B8" s="7" t="s">
        <v>10</v>
      </c>
      <c r="C8" s="7"/>
      <c r="D8" s="7"/>
      <c r="E8" s="7"/>
    </row>
    <row r="9" customFormat="false" ht="15" hidden="false" customHeight="true" outlineLevel="0" collapsed="false">
      <c r="A9" s="4" t="s">
        <v>11</v>
      </c>
      <c r="B9" s="5" t="s">
        <v>12</v>
      </c>
      <c r="C9" s="5"/>
      <c r="D9" s="5"/>
      <c r="E9" s="5"/>
    </row>
    <row r="10" customFormat="false" ht="15" hidden="false" customHeight="true" outlineLevel="0" collapsed="false">
      <c r="A10" s="8" t="s">
        <v>13</v>
      </c>
      <c r="B10" s="9" t="s">
        <v>14</v>
      </c>
      <c r="C10" s="9"/>
      <c r="D10" s="9"/>
      <c r="E10" s="9"/>
    </row>
    <row r="11" customFormat="false" ht="17.15" hidden="false" customHeight="false" outlineLevel="0" collapsed="false">
      <c r="A11" s="10" t="s">
        <v>15</v>
      </c>
    </row>
    <row r="12" customFormat="false" ht="15" hidden="false" customHeight="false" outlineLevel="0" collapsed="false">
      <c r="A12" s="11" t="s">
        <v>16</v>
      </c>
      <c r="B12" s="11" t="s">
        <v>17</v>
      </c>
      <c r="C12" s="12"/>
      <c r="D12" s="11" t="s">
        <v>18</v>
      </c>
      <c r="E12" s="11" t="s">
        <v>19</v>
      </c>
      <c r="F12" s="11" t="s">
        <v>20</v>
      </c>
      <c r="G12" s="11" t="s">
        <v>19</v>
      </c>
      <c r="H12" s="13"/>
    </row>
    <row r="13" customFormat="false" ht="15" hidden="false" customHeight="false" outlineLevel="0" collapsed="false">
      <c r="A13" s="14" t="s">
        <v>21</v>
      </c>
      <c r="B13" s="15" t="n">
        <f aca="false">COUNTA(시나리오_트래커!$A$3:$A$15)</f>
        <v>13</v>
      </c>
      <c r="D13" s="16" t="s">
        <v>22</v>
      </c>
      <c r="E13" s="17" t="n">
        <f aca="false">COUNTIF(시나리오_트래커!$F$3:$F$15,"No-Go")</f>
        <v>6</v>
      </c>
      <c r="F13" s="14" t="s">
        <v>23</v>
      </c>
      <c r="G13" s="17" t="n">
        <f aca="false">COUNTIF(시나리오_트래커!$G$3:$G$15,"최성빈")</f>
        <v>13</v>
      </c>
    </row>
    <row r="14" customFormat="false" ht="15" hidden="false" customHeight="false" outlineLevel="0" collapsed="false">
      <c r="A14" s="14" t="s">
        <v>24</v>
      </c>
      <c r="B14" s="15" t="n">
        <f aca="false">COUNTIF(시나리오_트래커!$D$3:$D$15,"Y")</f>
        <v>6</v>
      </c>
      <c r="D14" s="18" t="s">
        <v>25</v>
      </c>
      <c r="E14" s="17" t="n">
        <f aca="false">COUNTIF(시나리오_트래커!$F$3:$F$15,"제한 Go")</f>
        <v>5</v>
      </c>
      <c r="F14" s="14" t="s">
        <v>26</v>
      </c>
      <c r="G14" s="17" t="n">
        <f aca="false">COUNTIF(시나리오_트래커!$G$3:$G$15,"미정 (프론트)")</f>
        <v>0</v>
      </c>
    </row>
    <row r="15" customFormat="false" ht="15" hidden="false" customHeight="false" outlineLevel="0" collapsed="false">
      <c r="A15" s="14" t="s">
        <v>27</v>
      </c>
      <c r="B15" s="15" t="n">
        <f aca="false">COUNTIF(시나리오_트래커!$D$3:$D$15,"N")</f>
        <v>7</v>
      </c>
      <c r="D15" s="18" t="s">
        <v>28</v>
      </c>
      <c r="E15" s="17" t="n">
        <f aca="false">COUNTIF(시나리오_트래커!$F$3:$F$15,"재시도")</f>
        <v>1</v>
      </c>
      <c r="F15" s="14" t="s">
        <v>29</v>
      </c>
      <c r="G15" s="17" t="n">
        <f aca="false">COUNTIF(시나리오_트래커!$H$3:$H$15,"확정")</f>
        <v>0</v>
      </c>
    </row>
    <row r="16" customFormat="false" ht="15" hidden="false" customHeight="false" outlineLevel="0" collapsed="false">
      <c r="A16" s="14" t="s">
        <v>30</v>
      </c>
      <c r="B16" s="15" t="str">
        <f aca="false">COUNTIF(시나리오_트래커!$H$3:$H$15,"확정")&amp;" / "&amp;COUNTIF(시나리오_트래커!$H$3:$H$15,"미확정")</f>
        <v>0 / 13</v>
      </c>
      <c r="D16" s="16" t="s">
        <v>31</v>
      </c>
      <c r="E16" s="17" t="n">
        <f aca="false">COUNTIF(시나리오_트래커!$F$3:$F$15,"Go")</f>
        <v>1</v>
      </c>
      <c r="F16" s="14" t="s">
        <v>32</v>
      </c>
      <c r="G16" s="17" t="n">
        <f aca="false">COUNTIF(시나리오_트래커!$H$3:$H$15,"미확정")</f>
        <v>13</v>
      </c>
    </row>
    <row r="17" customFormat="false" ht="15" hidden="false" customHeight="false" outlineLevel="0" collapsed="false">
      <c r="A17" s="14" t="s">
        <v>33</v>
      </c>
      <c r="B17" s="15" t="n">
        <f aca="false">COUNTIF(시나리오_트래커!$M$3:$M$15,"발생")+COUNTIF(시나리오_트래커!$M$3:$M$15,"복구")+COUNTIF(시나리오_트래커!$M$3:$M$15,"재발")</f>
        <v>0</v>
      </c>
      <c r="D17" s="18" t="s">
        <v>34</v>
      </c>
      <c r="E17" s="16" t="n">
        <f aca="false">SUM(E13:E16)</f>
        <v>13</v>
      </c>
    </row>
    <row r="19" customFormat="false" ht="17.15" hidden="false" customHeight="false" outlineLevel="0" collapsed="false">
      <c r="A19" s="10" t="s">
        <v>35</v>
      </c>
    </row>
    <row r="20" customFormat="false" ht="33.75" hidden="false" customHeight="true" outlineLevel="0" collapsed="false">
      <c r="A20" s="19" t="s">
        <v>36</v>
      </c>
      <c r="B20" s="5" t="s">
        <v>37</v>
      </c>
      <c r="C20" s="5"/>
      <c r="D20" s="5"/>
      <c r="E20" s="5"/>
      <c r="F20" s="5"/>
      <c r="G20" s="5"/>
    </row>
    <row r="21" customFormat="false" ht="33.75" hidden="false" customHeight="true" outlineLevel="0" collapsed="false">
      <c r="A21" s="19" t="s">
        <v>38</v>
      </c>
      <c r="B21" s="5" t="s">
        <v>39</v>
      </c>
      <c r="C21" s="5"/>
      <c r="D21" s="5"/>
      <c r="E21" s="5"/>
      <c r="F21" s="5"/>
      <c r="G21" s="5"/>
    </row>
    <row r="22" customFormat="false" ht="33.75" hidden="false" customHeight="true" outlineLevel="0" collapsed="false">
      <c r="A22" s="19" t="s">
        <v>40</v>
      </c>
      <c r="B22" s="7" t="s">
        <v>41</v>
      </c>
      <c r="C22" s="7"/>
      <c r="D22" s="7"/>
      <c r="E22" s="7"/>
      <c r="F22" s="7"/>
      <c r="G22" s="7"/>
    </row>
    <row r="23" customFormat="false" ht="33.75" hidden="false" customHeight="true" outlineLevel="0" collapsed="false">
      <c r="A23" s="19" t="s">
        <v>42</v>
      </c>
      <c r="B23" s="7" t="s">
        <v>43</v>
      </c>
      <c r="C23" s="7"/>
      <c r="D23" s="7"/>
      <c r="E23" s="7"/>
      <c r="F23" s="7"/>
      <c r="G23" s="7"/>
    </row>
    <row r="24" customFormat="false" ht="33.75" hidden="false" customHeight="true" outlineLevel="0" collapsed="false">
      <c r="A24" s="19" t="s">
        <v>44</v>
      </c>
      <c r="B24" s="7" t="s">
        <v>45</v>
      </c>
      <c r="C24" s="7"/>
      <c r="D24" s="7"/>
      <c r="E24" s="7"/>
      <c r="F24" s="7"/>
      <c r="G24" s="7"/>
    </row>
    <row r="25" customFormat="false" ht="33.75" hidden="false" customHeight="true" outlineLevel="0" collapsed="false">
      <c r="A25" s="20" t="s">
        <v>46</v>
      </c>
      <c r="B25" s="7" t="s">
        <v>47</v>
      </c>
      <c r="C25" s="7"/>
      <c r="D25" s="7"/>
      <c r="E25" s="7"/>
      <c r="F25" s="7"/>
      <c r="G25" s="7"/>
    </row>
    <row r="27" customFormat="false" ht="17.15" hidden="false" customHeight="false" outlineLevel="0" collapsed="false">
      <c r="A27" s="10" t="s">
        <v>48</v>
      </c>
    </row>
    <row r="28" customFormat="false" ht="15" hidden="false" customHeight="false" outlineLevel="0" collapsed="false">
      <c r="A28" s="11"/>
      <c r="B28" s="11"/>
      <c r="C28" s="11"/>
    </row>
    <row r="29" customFormat="false" ht="15" hidden="false" customHeight="false" outlineLevel="0" collapsed="false">
      <c r="A29" s="21" t="s">
        <v>49</v>
      </c>
      <c r="B29" s="22" t="n">
        <f aca="false">COUNTIF(시나리오_트래커!$L$3:$L$15,A29)</f>
        <v>4</v>
      </c>
      <c r="C29" s="23" t="s">
        <v>50</v>
      </c>
    </row>
    <row r="30" customFormat="false" ht="15" hidden="false" customHeight="false" outlineLevel="0" collapsed="false">
      <c r="A30" s="24" t="s">
        <v>51</v>
      </c>
      <c r="B30" s="22" t="n">
        <f aca="false">COUNTIF(시나리오_트래커!$L$3:$L$15,A30)</f>
        <v>2</v>
      </c>
      <c r="C30" s="23" t="s">
        <v>52</v>
      </c>
    </row>
    <row r="31" customFormat="false" ht="15" hidden="false" customHeight="false" outlineLevel="0" collapsed="false">
      <c r="A31" s="24" t="s">
        <v>53</v>
      </c>
      <c r="B31" s="22" t="n">
        <f aca="false">COUNTIF(시나리오_트래커!$L$3:$L$15,A31)</f>
        <v>1</v>
      </c>
      <c r="C31" s="23" t="s">
        <v>54</v>
      </c>
    </row>
    <row r="32" customFormat="false" ht="15" hidden="false" customHeight="false" outlineLevel="0" collapsed="false">
      <c r="A32" s="24" t="s">
        <v>55</v>
      </c>
      <c r="B32" s="22" t="n">
        <f aca="false">COUNTIF(시나리오_트래커!$L$3:$L$15,A32)</f>
        <v>2</v>
      </c>
      <c r="C32" s="23" t="s">
        <v>56</v>
      </c>
    </row>
    <row r="33" customFormat="false" ht="15" hidden="false" customHeight="false" outlineLevel="0" collapsed="false">
      <c r="A33" s="25" t="s">
        <v>57</v>
      </c>
      <c r="B33" s="22" t="n">
        <f aca="false">COUNTIF(시나리오_트래커!$L$3:$L$15,A33)</f>
        <v>1</v>
      </c>
      <c r="C33" s="23" t="s">
        <v>58</v>
      </c>
    </row>
    <row r="34" customFormat="false" ht="15" hidden="false" customHeight="false" outlineLevel="0" collapsed="false">
      <c r="A34" s="26" t="s">
        <v>59</v>
      </c>
      <c r="B34" s="22" t="n">
        <f aca="false">COUNTIF(시나리오_트래커!$L$3:$L$15,A34)</f>
        <v>2</v>
      </c>
      <c r="C34" s="23" t="s">
        <v>60</v>
      </c>
    </row>
    <row r="35" customFormat="false" ht="15" hidden="false" customHeight="false" outlineLevel="0" collapsed="false">
      <c r="A35" s="27" t="s">
        <v>61</v>
      </c>
      <c r="B35" s="22" t="n">
        <f aca="false">COUNTIF(시나리오_트래커!$L$3:$L$15,A35)</f>
        <v>1</v>
      </c>
      <c r="C35" s="23" t="s">
        <v>62</v>
      </c>
    </row>
    <row r="37" customFormat="false" ht="15" hidden="false" customHeight="false" outlineLevel="0" collapsed="false">
      <c r="A37" s="28" t="s">
        <v>63</v>
      </c>
      <c r="B37" s="28"/>
      <c r="C37" s="28"/>
      <c r="D37" s="28"/>
      <c r="E37" s="28"/>
      <c r="F37" s="28"/>
      <c r="G37" s="28"/>
    </row>
    <row r="38" customFormat="false" ht="15" hidden="false" customHeight="false" outlineLevel="0" collapsed="false">
      <c r="A38" s="29" t="s">
        <v>64</v>
      </c>
      <c r="B38" s="29"/>
      <c r="C38" s="29"/>
      <c r="D38" s="29"/>
      <c r="E38" s="29"/>
      <c r="F38" s="29"/>
      <c r="G38" s="29"/>
    </row>
  </sheetData>
  <mergeCells count="16">
    <mergeCell ref="A1:H1"/>
    <mergeCell ref="A2:H2"/>
    <mergeCell ref="B5:E5"/>
    <mergeCell ref="B6:E6"/>
    <mergeCell ref="B7:E7"/>
    <mergeCell ref="B8:E8"/>
    <mergeCell ref="B9:E9"/>
    <mergeCell ref="B10:E10"/>
    <mergeCell ref="B20:G20"/>
    <mergeCell ref="B21:G21"/>
    <mergeCell ref="B22:G22"/>
    <mergeCell ref="B23:G23"/>
    <mergeCell ref="B24:G24"/>
    <mergeCell ref="B25:G25"/>
    <mergeCell ref="A37:G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9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44"/>
    <col collapsed="false" customWidth="true" hidden="false" outlineLevel="0" max="11" min="11" style="0" width="32"/>
    <col collapsed="false" customWidth="true" hidden="false" outlineLevel="0" max="12" min="12" style="0" width="18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46"/>
  </cols>
  <sheetData>
    <row r="1" customFormat="false" ht="18" hidden="false" customHeight="true" outlineLevel="0" collapsed="false">
      <c r="A1" s="30" t="s">
        <v>65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customFormat="false" ht="15" hidden="false" customHeight="false" outlineLevel="0" collapsed="false">
      <c r="A2" s="31" t="s">
        <v>66</v>
      </c>
      <c r="B2" s="11" t="s">
        <v>67</v>
      </c>
      <c r="C2" s="11" t="s">
        <v>68</v>
      </c>
      <c r="D2" s="11" t="s">
        <v>69</v>
      </c>
      <c r="E2" s="11" t="s">
        <v>70</v>
      </c>
      <c r="F2" s="11" t="s">
        <v>18</v>
      </c>
      <c r="G2" s="11" t="s">
        <v>20</v>
      </c>
      <c r="H2" s="11" t="s">
        <v>29</v>
      </c>
      <c r="I2" s="11" t="s">
        <v>71</v>
      </c>
      <c r="J2" s="11" t="s">
        <v>72</v>
      </c>
      <c r="K2" s="11" t="s">
        <v>73</v>
      </c>
      <c r="L2" s="11" t="s">
        <v>74</v>
      </c>
      <c r="M2" s="11" t="s">
        <v>11</v>
      </c>
      <c r="N2" s="11" t="s">
        <v>75</v>
      </c>
      <c r="O2" s="11" t="s">
        <v>76</v>
      </c>
    </row>
    <row r="3" customFormat="false" ht="48" hidden="false" customHeight="true" outlineLevel="0" collapsed="false">
      <c r="A3" s="32" t="s">
        <v>77</v>
      </c>
      <c r="B3" s="33" t="s">
        <v>78</v>
      </c>
      <c r="C3" s="34" t="s">
        <v>79</v>
      </c>
      <c r="D3" s="35" t="s">
        <v>80</v>
      </c>
      <c r="E3" s="36" t="s">
        <v>81</v>
      </c>
      <c r="F3" s="37" t="s">
        <v>22</v>
      </c>
      <c r="G3" s="38" t="s">
        <v>23</v>
      </c>
      <c r="H3" s="39" t="s">
        <v>82</v>
      </c>
      <c r="I3" s="33" t="s">
        <v>83</v>
      </c>
      <c r="J3" s="33" t="s">
        <v>84</v>
      </c>
      <c r="K3" s="33" t="s">
        <v>85</v>
      </c>
      <c r="L3" s="40" t="s">
        <v>49</v>
      </c>
      <c r="M3" s="41" t="s">
        <v>86</v>
      </c>
      <c r="N3" s="42" t="s">
        <v>83</v>
      </c>
      <c r="O3" s="34" t="s">
        <v>87</v>
      </c>
    </row>
    <row r="4" customFormat="false" ht="48" hidden="false" customHeight="true" outlineLevel="0" collapsed="false">
      <c r="A4" s="32" t="s">
        <v>88</v>
      </c>
      <c r="B4" s="34" t="s">
        <v>89</v>
      </c>
      <c r="C4" s="34" t="s">
        <v>69</v>
      </c>
      <c r="D4" s="35" t="s">
        <v>80</v>
      </c>
      <c r="E4" s="42" t="s">
        <v>90</v>
      </c>
      <c r="F4" s="37" t="s">
        <v>22</v>
      </c>
      <c r="G4" s="38" t="s">
        <v>23</v>
      </c>
      <c r="H4" s="39" t="s">
        <v>82</v>
      </c>
      <c r="I4" s="33" t="s">
        <v>83</v>
      </c>
      <c r="J4" s="33" t="s">
        <v>91</v>
      </c>
      <c r="K4" s="33" t="s">
        <v>92</v>
      </c>
      <c r="L4" s="43" t="s">
        <v>93</v>
      </c>
      <c r="M4" s="41" t="s">
        <v>86</v>
      </c>
      <c r="N4" s="42" t="s">
        <v>83</v>
      </c>
      <c r="O4" s="34" t="s">
        <v>94</v>
      </c>
    </row>
    <row r="5" customFormat="false" ht="48" hidden="false" customHeight="true" outlineLevel="0" collapsed="false">
      <c r="A5" s="32" t="s">
        <v>95</v>
      </c>
      <c r="B5" s="34" t="s">
        <v>96</v>
      </c>
      <c r="C5" s="34" t="s">
        <v>69</v>
      </c>
      <c r="D5" s="35" t="s">
        <v>80</v>
      </c>
      <c r="E5" s="42" t="s">
        <v>90</v>
      </c>
      <c r="F5" s="37" t="s">
        <v>22</v>
      </c>
      <c r="G5" s="38" t="s">
        <v>23</v>
      </c>
      <c r="H5" s="39" t="s">
        <v>82</v>
      </c>
      <c r="I5" s="33" t="s">
        <v>83</v>
      </c>
      <c r="J5" s="33" t="s">
        <v>97</v>
      </c>
      <c r="K5" s="33" t="s">
        <v>98</v>
      </c>
      <c r="L5" s="43" t="s">
        <v>93</v>
      </c>
      <c r="M5" s="41" t="s">
        <v>86</v>
      </c>
      <c r="N5" s="42" t="s">
        <v>83</v>
      </c>
      <c r="O5" s="34" t="s">
        <v>99</v>
      </c>
    </row>
    <row r="6" customFormat="false" ht="48" hidden="false" customHeight="true" outlineLevel="0" collapsed="false">
      <c r="A6" s="32" t="s">
        <v>54</v>
      </c>
      <c r="B6" s="33" t="s">
        <v>100</v>
      </c>
      <c r="C6" s="34" t="s">
        <v>101</v>
      </c>
      <c r="D6" s="35" t="s">
        <v>80</v>
      </c>
      <c r="E6" s="42" t="s">
        <v>102</v>
      </c>
      <c r="F6" s="39" t="s">
        <v>103</v>
      </c>
      <c r="G6" s="38" t="s">
        <v>23</v>
      </c>
      <c r="H6" s="39" t="s">
        <v>82</v>
      </c>
      <c r="I6" s="33" t="s">
        <v>83</v>
      </c>
      <c r="J6" s="33" t="s">
        <v>104</v>
      </c>
      <c r="K6" s="33" t="s">
        <v>105</v>
      </c>
      <c r="L6" s="44" t="s">
        <v>53</v>
      </c>
      <c r="M6" s="41" t="s">
        <v>86</v>
      </c>
      <c r="N6" s="42" t="s">
        <v>83</v>
      </c>
      <c r="O6" s="33" t="s">
        <v>106</v>
      </c>
    </row>
    <row r="7" customFormat="false" ht="48" hidden="false" customHeight="true" outlineLevel="0" collapsed="false">
      <c r="A7" s="32" t="s">
        <v>107</v>
      </c>
      <c r="B7" s="34" t="s">
        <v>108</v>
      </c>
      <c r="C7" s="34" t="s">
        <v>109</v>
      </c>
      <c r="D7" s="35" t="s">
        <v>80</v>
      </c>
      <c r="E7" s="42" t="s">
        <v>110</v>
      </c>
      <c r="F7" s="45" t="s">
        <v>28</v>
      </c>
      <c r="G7" s="38" t="s">
        <v>23</v>
      </c>
      <c r="H7" s="39" t="s">
        <v>82</v>
      </c>
      <c r="I7" s="33" t="s">
        <v>83</v>
      </c>
      <c r="J7" s="33" t="s">
        <v>111</v>
      </c>
      <c r="K7" s="34" t="s">
        <v>112</v>
      </c>
      <c r="L7" s="40" t="s">
        <v>49</v>
      </c>
      <c r="M7" s="41" t="s">
        <v>86</v>
      </c>
      <c r="N7" s="42" t="s">
        <v>83</v>
      </c>
      <c r="O7" s="34" t="s">
        <v>113</v>
      </c>
    </row>
    <row r="8" customFormat="false" ht="48" hidden="false" customHeight="true" outlineLevel="0" collapsed="false">
      <c r="A8" s="32" t="s">
        <v>114</v>
      </c>
      <c r="B8" s="34" t="s">
        <v>115</v>
      </c>
      <c r="C8" s="34" t="s">
        <v>116</v>
      </c>
      <c r="D8" s="35" t="s">
        <v>80</v>
      </c>
      <c r="E8" s="42" t="s">
        <v>110</v>
      </c>
      <c r="F8" s="37" t="s">
        <v>22</v>
      </c>
      <c r="G8" s="38" t="s">
        <v>23</v>
      </c>
      <c r="H8" s="39" t="s">
        <v>82</v>
      </c>
      <c r="I8" s="33" t="s">
        <v>83</v>
      </c>
      <c r="J8" s="34" t="s">
        <v>117</v>
      </c>
      <c r="K8" s="33" t="s">
        <v>118</v>
      </c>
      <c r="L8" s="40" t="s">
        <v>49</v>
      </c>
      <c r="M8" s="41" t="s">
        <v>86</v>
      </c>
      <c r="N8" s="42" t="s">
        <v>83</v>
      </c>
      <c r="O8" s="33" t="s">
        <v>119</v>
      </c>
    </row>
    <row r="9" customFormat="false" ht="48" hidden="false" customHeight="true" outlineLevel="0" collapsed="false">
      <c r="A9" s="32" t="s">
        <v>120</v>
      </c>
      <c r="B9" s="33" t="s">
        <v>121</v>
      </c>
      <c r="C9" s="34" t="s">
        <v>122</v>
      </c>
      <c r="D9" s="46" t="s">
        <v>123</v>
      </c>
      <c r="E9" s="42" t="s">
        <v>102</v>
      </c>
      <c r="F9" s="39" t="s">
        <v>103</v>
      </c>
      <c r="G9" s="38" t="s">
        <v>23</v>
      </c>
      <c r="H9" s="39" t="s">
        <v>82</v>
      </c>
      <c r="I9" s="33" t="s">
        <v>83</v>
      </c>
      <c r="J9" s="34" t="s">
        <v>124</v>
      </c>
      <c r="K9" s="33" t="s">
        <v>125</v>
      </c>
      <c r="L9" s="47" t="s">
        <v>55</v>
      </c>
      <c r="M9" s="41" t="s">
        <v>86</v>
      </c>
      <c r="N9" s="42" t="s">
        <v>83</v>
      </c>
      <c r="O9" s="34" t="s">
        <v>126</v>
      </c>
    </row>
    <row r="10" customFormat="false" ht="48" hidden="false" customHeight="true" outlineLevel="0" collapsed="false">
      <c r="A10" s="32" t="s">
        <v>127</v>
      </c>
      <c r="B10" s="33" t="s">
        <v>128</v>
      </c>
      <c r="C10" s="34" t="s">
        <v>122</v>
      </c>
      <c r="D10" s="46" t="s">
        <v>123</v>
      </c>
      <c r="E10" s="42" t="s">
        <v>102</v>
      </c>
      <c r="F10" s="39" t="s">
        <v>103</v>
      </c>
      <c r="G10" s="38" t="s">
        <v>23</v>
      </c>
      <c r="H10" s="39" t="s">
        <v>82</v>
      </c>
      <c r="I10" s="33" t="s">
        <v>83</v>
      </c>
      <c r="J10" s="34" t="s">
        <v>129</v>
      </c>
      <c r="K10" s="33" t="s">
        <v>130</v>
      </c>
      <c r="L10" s="47" t="s">
        <v>55</v>
      </c>
      <c r="M10" s="41" t="s">
        <v>86</v>
      </c>
      <c r="N10" s="42" t="s">
        <v>83</v>
      </c>
      <c r="O10" s="34" t="s">
        <v>131</v>
      </c>
    </row>
    <row r="11" customFormat="false" ht="48" hidden="false" customHeight="true" outlineLevel="0" collapsed="false">
      <c r="A11" s="32" t="s">
        <v>58</v>
      </c>
      <c r="B11" s="34" t="s">
        <v>132</v>
      </c>
      <c r="C11" s="34" t="s">
        <v>122</v>
      </c>
      <c r="D11" s="46" t="s">
        <v>123</v>
      </c>
      <c r="E11" s="42" t="s">
        <v>83</v>
      </c>
      <c r="F11" s="37" t="s">
        <v>22</v>
      </c>
      <c r="G11" s="38" t="s">
        <v>23</v>
      </c>
      <c r="H11" s="39" t="s">
        <v>82</v>
      </c>
      <c r="I11" s="33" t="s">
        <v>83</v>
      </c>
      <c r="J11" s="34" t="s">
        <v>133</v>
      </c>
      <c r="K11" s="33" t="s">
        <v>134</v>
      </c>
      <c r="L11" s="48" t="s">
        <v>57</v>
      </c>
      <c r="M11" s="41" t="s">
        <v>86</v>
      </c>
      <c r="N11" s="42" t="s">
        <v>83</v>
      </c>
      <c r="O11" s="34" t="s">
        <v>135</v>
      </c>
    </row>
    <row r="12" customFormat="false" ht="48" hidden="false" customHeight="true" outlineLevel="0" collapsed="false">
      <c r="A12" s="32" t="s">
        <v>136</v>
      </c>
      <c r="B12" s="34" t="s">
        <v>137</v>
      </c>
      <c r="C12" s="34" t="s">
        <v>138</v>
      </c>
      <c r="D12" s="46" t="s">
        <v>123</v>
      </c>
      <c r="E12" s="42" t="s">
        <v>139</v>
      </c>
      <c r="F12" s="39" t="s">
        <v>103</v>
      </c>
      <c r="G12" s="38" t="s">
        <v>23</v>
      </c>
      <c r="H12" s="39" t="s">
        <v>82</v>
      </c>
      <c r="I12" s="33" t="s">
        <v>83</v>
      </c>
      <c r="J12" s="33" t="s">
        <v>140</v>
      </c>
      <c r="K12" s="33" t="s">
        <v>141</v>
      </c>
      <c r="L12" s="49" t="s">
        <v>142</v>
      </c>
      <c r="M12" s="41" t="s">
        <v>86</v>
      </c>
      <c r="N12" s="42" t="s">
        <v>83</v>
      </c>
      <c r="O12" s="34" t="s">
        <v>143</v>
      </c>
    </row>
    <row r="13" customFormat="false" ht="48" hidden="false" customHeight="true" outlineLevel="0" collapsed="false">
      <c r="A13" s="32" t="s">
        <v>62</v>
      </c>
      <c r="B13" s="34" t="s">
        <v>144</v>
      </c>
      <c r="C13" s="34" t="s">
        <v>138</v>
      </c>
      <c r="D13" s="46" t="s">
        <v>123</v>
      </c>
      <c r="E13" s="42" t="s">
        <v>139</v>
      </c>
      <c r="F13" s="50" t="s">
        <v>31</v>
      </c>
      <c r="G13" s="38" t="s">
        <v>23</v>
      </c>
      <c r="H13" s="39" t="s">
        <v>82</v>
      </c>
      <c r="I13" s="33" t="s">
        <v>83</v>
      </c>
      <c r="J13" s="34" t="s">
        <v>145</v>
      </c>
      <c r="K13" s="34" t="s">
        <v>146</v>
      </c>
      <c r="L13" s="51" t="s">
        <v>147</v>
      </c>
      <c r="M13" s="41" t="s">
        <v>86</v>
      </c>
      <c r="N13" s="42" t="s">
        <v>83</v>
      </c>
      <c r="O13" s="34" t="s">
        <v>148</v>
      </c>
    </row>
    <row r="14" customFormat="false" ht="48" hidden="false" customHeight="true" outlineLevel="0" collapsed="false">
      <c r="A14" s="32" t="s">
        <v>149</v>
      </c>
      <c r="B14" s="34" t="s">
        <v>150</v>
      </c>
      <c r="C14" s="34" t="s">
        <v>138</v>
      </c>
      <c r="D14" s="46" t="s">
        <v>123</v>
      </c>
      <c r="E14" s="42" t="s">
        <v>83</v>
      </c>
      <c r="F14" s="39" t="s">
        <v>103</v>
      </c>
      <c r="G14" s="38" t="s">
        <v>23</v>
      </c>
      <c r="H14" s="39" t="s">
        <v>82</v>
      </c>
      <c r="I14" s="33" t="s">
        <v>83</v>
      </c>
      <c r="J14" s="34" t="s">
        <v>151</v>
      </c>
      <c r="K14" s="34" t="s">
        <v>152</v>
      </c>
      <c r="L14" s="49" t="s">
        <v>142</v>
      </c>
      <c r="M14" s="41" t="s">
        <v>86</v>
      </c>
      <c r="N14" s="42" t="s">
        <v>83</v>
      </c>
      <c r="O14" s="34" t="s">
        <v>153</v>
      </c>
    </row>
    <row r="15" customFormat="false" ht="48" hidden="false" customHeight="true" outlineLevel="0" collapsed="false">
      <c r="A15" s="32" t="s">
        <v>154</v>
      </c>
      <c r="B15" s="34" t="s">
        <v>155</v>
      </c>
      <c r="C15" s="34" t="s">
        <v>156</v>
      </c>
      <c r="D15" s="46" t="s">
        <v>123</v>
      </c>
      <c r="E15" s="42" t="s">
        <v>83</v>
      </c>
      <c r="F15" s="37" t="s">
        <v>22</v>
      </c>
      <c r="G15" s="38" t="s">
        <v>23</v>
      </c>
      <c r="H15" s="39" t="s">
        <v>82</v>
      </c>
      <c r="I15" s="34" t="s">
        <v>157</v>
      </c>
      <c r="J15" s="34" t="s">
        <v>158</v>
      </c>
      <c r="K15" s="33" t="s">
        <v>159</v>
      </c>
      <c r="L15" s="40" t="s">
        <v>49</v>
      </c>
      <c r="M15" s="41" t="s">
        <v>86</v>
      </c>
      <c r="N15" s="42" t="s">
        <v>83</v>
      </c>
      <c r="O15" s="33" t="s">
        <v>160</v>
      </c>
    </row>
    <row r="16" customFormat="false" ht="15" hidden="false" customHeight="false" outlineLevel="0" collapsed="false">
      <c r="O16" s="52" t="s">
        <v>161</v>
      </c>
    </row>
  </sheetData>
  <autoFilter ref="A2:O15"/>
  <mergeCells count="1">
    <mergeCell ref="A1:O1"/>
  </mergeCells>
  <dataValidations count="3">
    <dataValidation allowBlank="false" error="확정 또는 미확정만 입력하세요." errorStyle="stop" errorTitle="값 오류" operator="between" showDropDown="false" showErrorMessage="false" showInputMessage="false" sqref="H3:H15" type="list">
      <formula1>"확정,미확정"</formula1>
      <formula2>0</formula2>
    </dataValidation>
    <dataValidation allowBlank="false" error="미발생/발생/복구/재발/해당없음 중 하나를 고르세요." errorStyle="stop" errorTitle="값 오류" operator="between" showDropDown="false" showErrorMessage="false" showInputMessage="false" sqref="M3:M15" type="list">
      <formula1>"미발생,발생,복구,재발,해당없음"</formula1>
      <formula2>0</formula2>
    </dataValidation>
    <dataValidation allowBlank="false" errorStyle="stop" operator="between" showDropDown="false" showErrorMessage="false" showInputMessage="false" sqref="D3:D1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16.15" hidden="false" customHeight="false" outlineLevel="0" collapsed="false">
      <c r="A1" s="53" t="s">
        <v>162</v>
      </c>
      <c r="B1" s="53"/>
      <c r="C1" s="53"/>
      <c r="D1" s="53"/>
      <c r="E1" s="53"/>
      <c r="F1" s="53"/>
    </row>
    <row r="2" customFormat="false" ht="14.9" hidden="false" customHeight="false" outlineLevel="0" collapsed="false">
      <c r="A2" s="54" t="s">
        <v>163</v>
      </c>
      <c r="B2" s="54"/>
      <c r="C2" s="54"/>
      <c r="D2" s="54"/>
      <c r="E2" s="54"/>
      <c r="F2" s="54"/>
    </row>
    <row r="4" customFormat="false" ht="15" hidden="false" customHeight="false" outlineLevel="0" collapsed="false">
      <c r="A4" s="11" t="s">
        <v>70</v>
      </c>
      <c r="B4" s="11" t="s">
        <v>164</v>
      </c>
      <c r="C4" s="11" t="s">
        <v>165</v>
      </c>
      <c r="D4" s="11" t="s">
        <v>166</v>
      </c>
      <c r="E4" s="11" t="s">
        <v>18</v>
      </c>
      <c r="F4" s="11" t="s">
        <v>69</v>
      </c>
    </row>
    <row r="5" customFormat="false" ht="51.75" hidden="false" customHeight="true" outlineLevel="0" collapsed="false">
      <c r="A5" s="55" t="s">
        <v>110</v>
      </c>
      <c r="B5" s="38" t="s">
        <v>167</v>
      </c>
      <c r="C5" s="33" t="s">
        <v>168</v>
      </c>
      <c r="D5" s="33" t="s">
        <v>169</v>
      </c>
      <c r="E5" s="42" t="s">
        <v>170</v>
      </c>
      <c r="F5" s="56" t="s">
        <v>80</v>
      </c>
    </row>
    <row r="6" customFormat="false" ht="51.75" hidden="false" customHeight="true" outlineLevel="0" collapsed="false">
      <c r="A6" s="55" t="s">
        <v>90</v>
      </c>
      <c r="B6" s="38" t="s">
        <v>171</v>
      </c>
      <c r="C6" s="33" t="s">
        <v>172</v>
      </c>
      <c r="D6" s="33" t="s">
        <v>173</v>
      </c>
      <c r="E6" s="42" t="s">
        <v>22</v>
      </c>
      <c r="F6" s="56" t="s">
        <v>80</v>
      </c>
    </row>
    <row r="7" customFormat="false" ht="51.75" hidden="false" customHeight="true" outlineLevel="0" collapsed="false">
      <c r="A7" s="55" t="s">
        <v>102</v>
      </c>
      <c r="B7" s="57" t="s">
        <v>174</v>
      </c>
      <c r="C7" s="33" t="s">
        <v>175</v>
      </c>
      <c r="D7" s="33" t="s">
        <v>176</v>
      </c>
      <c r="E7" s="36" t="s">
        <v>177</v>
      </c>
      <c r="F7" s="58" t="s">
        <v>178</v>
      </c>
    </row>
    <row r="8" customFormat="false" ht="51.75" hidden="false" customHeight="true" outlineLevel="0" collapsed="false">
      <c r="A8" s="55" t="s">
        <v>179</v>
      </c>
      <c r="B8" s="38" t="s">
        <v>180</v>
      </c>
      <c r="C8" s="33" t="s">
        <v>181</v>
      </c>
      <c r="D8" s="34" t="s">
        <v>182</v>
      </c>
      <c r="E8" s="36" t="s">
        <v>177</v>
      </c>
      <c r="F8" s="58" t="s">
        <v>123</v>
      </c>
    </row>
    <row r="9" customFormat="false" ht="51.75" hidden="false" customHeight="true" outlineLevel="0" collapsed="false">
      <c r="A9" s="55" t="s">
        <v>139</v>
      </c>
      <c r="B9" s="38" t="s">
        <v>183</v>
      </c>
      <c r="C9" s="34" t="s">
        <v>184</v>
      </c>
      <c r="D9" s="33" t="s">
        <v>185</v>
      </c>
      <c r="E9" s="42" t="s">
        <v>186</v>
      </c>
      <c r="F9" s="58" t="s">
        <v>123</v>
      </c>
    </row>
    <row r="11" customFormat="false" ht="15" hidden="false" customHeight="false" outlineLevel="0" collapsed="false">
      <c r="A11" s="59" t="s">
        <v>187</v>
      </c>
      <c r="B11" s="59"/>
      <c r="C11" s="59"/>
      <c r="D11" s="59"/>
      <c r="E11" s="59"/>
      <c r="F11" s="59"/>
    </row>
    <row r="12" customFormat="false" ht="15" hidden="false" customHeight="false" outlineLevel="0" collapsed="false">
      <c r="A12" s="60" t="s">
        <v>188</v>
      </c>
      <c r="B12" s="60"/>
      <c r="C12" s="60"/>
      <c r="D12" s="60"/>
      <c r="E12" s="60"/>
      <c r="F12" s="60"/>
    </row>
  </sheetData>
  <mergeCells count="4">
    <mergeCell ref="A1:F1"/>
    <mergeCell ref="A2:F2"/>
    <mergeCell ref="A11:F1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4"/>
  </cols>
  <sheetData>
    <row r="1" customFormat="false" ht="20.1" hidden="false" customHeight="false" outlineLevel="0" collapsed="false">
      <c r="A1" s="53" t="s">
        <v>189</v>
      </c>
      <c r="B1" s="53"/>
      <c r="C1" s="53"/>
      <c r="D1" s="53"/>
      <c r="E1" s="53"/>
      <c r="F1" s="53"/>
    </row>
    <row r="2" customFormat="false" ht="14.9" hidden="false" customHeight="false" outlineLevel="0" collapsed="false">
      <c r="A2" s="61" t="s">
        <v>190</v>
      </c>
      <c r="B2" s="61"/>
      <c r="C2" s="61"/>
      <c r="D2" s="61"/>
      <c r="E2" s="61"/>
      <c r="F2" s="61"/>
    </row>
    <row r="4" customFormat="false" ht="15" hidden="false" customHeight="false" outlineLevel="0" collapsed="false">
      <c r="A4" s="11" t="s">
        <v>191</v>
      </c>
      <c r="B4" s="31" t="s">
        <v>192</v>
      </c>
      <c r="C4" s="11" t="s">
        <v>193</v>
      </c>
      <c r="D4" s="11" t="s">
        <v>29</v>
      </c>
      <c r="E4" s="11" t="s">
        <v>194</v>
      </c>
      <c r="F4" s="11" t="s">
        <v>76</v>
      </c>
    </row>
    <row r="5" customFormat="false" ht="30" hidden="false" customHeight="true" outlineLevel="0" collapsed="false">
      <c r="A5" s="62" t="s">
        <v>23</v>
      </c>
      <c r="B5" s="63" t="s">
        <v>195</v>
      </c>
      <c r="C5" s="64" t="s">
        <v>196</v>
      </c>
      <c r="D5" s="65" t="s">
        <v>82</v>
      </c>
      <c r="E5" s="66"/>
      <c r="F5" s="64" t="s">
        <v>197</v>
      </c>
    </row>
    <row r="6" customFormat="false" ht="30" hidden="false" customHeight="true" outlineLevel="0" collapsed="false">
      <c r="A6" s="62" t="s">
        <v>198</v>
      </c>
      <c r="B6" s="63" t="s">
        <v>199</v>
      </c>
      <c r="C6" s="67" t="s">
        <v>200</v>
      </c>
      <c r="D6" s="65" t="s">
        <v>82</v>
      </c>
      <c r="E6" s="66"/>
      <c r="F6" s="67" t="s">
        <v>201</v>
      </c>
    </row>
    <row r="7" customFormat="false" ht="30" hidden="false" customHeight="true" outlineLevel="0" collapsed="false">
      <c r="A7" s="62" t="s">
        <v>202</v>
      </c>
      <c r="B7" s="63" t="s">
        <v>83</v>
      </c>
      <c r="C7" s="64" t="s">
        <v>203</v>
      </c>
      <c r="D7" s="65" t="s">
        <v>82</v>
      </c>
      <c r="E7" s="66"/>
      <c r="F7" s="64" t="s">
        <v>204</v>
      </c>
    </row>
    <row r="8" customFormat="false" ht="30" hidden="false" customHeight="true" outlineLevel="0" collapsed="false">
      <c r="A8" s="62" t="s">
        <v>205</v>
      </c>
      <c r="B8" s="63" t="s">
        <v>83</v>
      </c>
      <c r="C8" s="67" t="s">
        <v>206</v>
      </c>
      <c r="D8" s="65" t="s">
        <v>82</v>
      </c>
      <c r="E8" s="66"/>
      <c r="F8" s="64" t="s">
        <v>207</v>
      </c>
    </row>
    <row r="9" customFormat="false" ht="30" hidden="false" customHeight="true" outlineLevel="0" collapsed="false">
      <c r="A9" s="62" t="s">
        <v>208</v>
      </c>
      <c r="B9" s="63" t="s">
        <v>83</v>
      </c>
      <c r="C9" s="67" t="s">
        <v>209</v>
      </c>
      <c r="D9" s="65" t="s">
        <v>82</v>
      </c>
      <c r="E9" s="66"/>
      <c r="F9" s="67" t="s">
        <v>210</v>
      </c>
    </row>
    <row r="10" customFormat="false" ht="30" hidden="false" customHeight="true" outlineLevel="0" collapsed="false">
      <c r="A10" s="62" t="s">
        <v>211</v>
      </c>
      <c r="B10" s="63" t="s">
        <v>83</v>
      </c>
      <c r="C10" s="64" t="s">
        <v>212</v>
      </c>
      <c r="D10" s="65" t="s">
        <v>82</v>
      </c>
      <c r="E10" s="66"/>
      <c r="F10" s="64" t="s">
        <v>213</v>
      </c>
    </row>
    <row r="11" customFormat="false" ht="30" hidden="false" customHeight="true" outlineLevel="0" collapsed="false">
      <c r="A11" s="68" t="s">
        <v>214</v>
      </c>
      <c r="B11" s="63" t="s">
        <v>83</v>
      </c>
      <c r="C11" s="64" t="s">
        <v>215</v>
      </c>
      <c r="D11" s="65" t="s">
        <v>82</v>
      </c>
      <c r="E11" s="66"/>
      <c r="F11" s="64" t="s">
        <v>216</v>
      </c>
    </row>
    <row r="13" customFormat="false" ht="15" hidden="false" customHeight="false" outlineLevel="0" collapsed="false">
      <c r="A13" s="69" t="s">
        <v>217</v>
      </c>
      <c r="C13" s="70" t="n">
        <f aca="false">COUNTIF(D5:D11,"미확정")</f>
        <v>7</v>
      </c>
    </row>
    <row r="14" customFormat="false" ht="25.5" hidden="false" customHeight="true" outlineLevel="0" collapsed="false">
      <c r="A14" s="30" t="s">
        <v>218</v>
      </c>
      <c r="B14" s="30"/>
      <c r="C14" s="30"/>
      <c r="D14" s="30"/>
      <c r="E14" s="30"/>
      <c r="F14" s="30"/>
    </row>
  </sheetData>
  <mergeCells count="3">
    <mergeCell ref="A1:F1"/>
    <mergeCell ref="A2:F2"/>
    <mergeCell ref="A14:F14"/>
  </mergeCells>
  <dataValidations count="1">
    <dataValidation allowBlank="false" errorStyle="stop" operator="between" showDropDown="false" showErrorMessage="false" showInputMessage="false" sqref="D5:D11" type="list">
      <formula1>"확정,미확정"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2"/>
  </cols>
  <sheetData>
    <row r="1" customFormat="false" ht="20.1" hidden="false" customHeight="false" outlineLevel="0" collapsed="false">
      <c r="A1" s="53" t="s">
        <v>219</v>
      </c>
      <c r="B1" s="53"/>
      <c r="C1" s="53"/>
      <c r="D1" s="53"/>
      <c r="E1" s="53"/>
      <c r="F1" s="53"/>
      <c r="G1" s="53"/>
    </row>
    <row r="2" customFormat="false" ht="14.9" hidden="false" customHeight="false" outlineLevel="0" collapsed="false">
      <c r="A2" s="30" t="s">
        <v>220</v>
      </c>
      <c r="B2" s="30"/>
      <c r="C2" s="30"/>
      <c r="D2" s="30"/>
      <c r="E2" s="30"/>
      <c r="F2" s="30"/>
      <c r="G2" s="30"/>
    </row>
    <row r="4" customFormat="false" ht="15" hidden="false" customHeight="false" outlineLevel="0" collapsed="false">
      <c r="A4" s="11" t="s">
        <v>221</v>
      </c>
      <c r="B4" s="11" t="s">
        <v>222</v>
      </c>
      <c r="C4" s="11" t="s">
        <v>223</v>
      </c>
      <c r="D4" s="11" t="s">
        <v>224</v>
      </c>
      <c r="E4" s="11" t="s">
        <v>225</v>
      </c>
      <c r="F4" s="11" t="s">
        <v>226</v>
      </c>
      <c r="G4" s="11" t="s">
        <v>227</v>
      </c>
    </row>
    <row r="5" customFormat="false" ht="55.5" hidden="false" customHeight="true" outlineLevel="0" collapsed="false">
      <c r="A5" s="71" t="s">
        <v>228</v>
      </c>
      <c r="B5" s="72" t="s">
        <v>229</v>
      </c>
      <c r="C5" s="73" t="s">
        <v>83</v>
      </c>
      <c r="D5" s="34" t="s">
        <v>230</v>
      </c>
      <c r="E5" s="73" t="s">
        <v>83</v>
      </c>
      <c r="F5" s="73" t="s">
        <v>83</v>
      </c>
      <c r="G5" s="34" t="s">
        <v>231</v>
      </c>
    </row>
    <row r="6" customFormat="false" ht="25.5" hidden="false" customHeight="true" outlineLevel="0" collapsed="false">
      <c r="A6" s="74"/>
      <c r="B6" s="75"/>
      <c r="C6" s="74"/>
      <c r="D6" s="74"/>
      <c r="E6" s="75"/>
      <c r="F6" s="76"/>
      <c r="G6" s="74"/>
    </row>
    <row r="7" customFormat="false" ht="25.5" hidden="false" customHeight="true" outlineLevel="0" collapsed="false">
      <c r="A7" s="67"/>
      <c r="B7" s="66"/>
      <c r="C7" s="67"/>
      <c r="D7" s="67"/>
      <c r="E7" s="66"/>
      <c r="F7" s="77"/>
      <c r="G7" s="67"/>
    </row>
    <row r="8" customFormat="false" ht="25.5" hidden="false" customHeight="true" outlineLevel="0" collapsed="false">
      <c r="A8" s="74"/>
      <c r="B8" s="75"/>
      <c r="C8" s="74"/>
      <c r="D8" s="74"/>
      <c r="E8" s="75"/>
      <c r="F8" s="76"/>
      <c r="G8" s="74"/>
    </row>
    <row r="9" customFormat="false" ht="25.5" hidden="false" customHeight="true" outlineLevel="0" collapsed="false">
      <c r="A9" s="67"/>
      <c r="B9" s="66"/>
      <c r="C9" s="67"/>
      <c r="D9" s="67"/>
      <c r="E9" s="66"/>
      <c r="F9" s="77"/>
      <c r="G9" s="67"/>
    </row>
    <row r="10" customFormat="false" ht="25.5" hidden="false" customHeight="true" outlineLevel="0" collapsed="false">
      <c r="A10" s="74"/>
      <c r="B10" s="75"/>
      <c r="C10" s="74"/>
      <c r="D10" s="74"/>
      <c r="E10" s="75"/>
      <c r="F10" s="76"/>
      <c r="G10" s="74"/>
    </row>
    <row r="11" customFormat="false" ht="25.5" hidden="false" customHeight="true" outlineLevel="0" collapsed="false">
      <c r="A11" s="67"/>
      <c r="B11" s="66"/>
      <c r="C11" s="67"/>
      <c r="D11" s="67"/>
      <c r="E11" s="66"/>
      <c r="F11" s="77"/>
      <c r="G11" s="67"/>
    </row>
    <row r="12" customFormat="false" ht="25.5" hidden="false" customHeight="true" outlineLevel="0" collapsed="false">
      <c r="A12" s="74"/>
      <c r="B12" s="75"/>
      <c r="C12" s="74"/>
      <c r="D12" s="74"/>
      <c r="E12" s="75"/>
      <c r="F12" s="76"/>
      <c r="G12" s="74"/>
    </row>
    <row r="13" customFormat="false" ht="25.5" hidden="false" customHeight="true" outlineLevel="0" collapsed="false">
      <c r="A13" s="67"/>
      <c r="B13" s="66"/>
      <c r="C13" s="67"/>
      <c r="D13" s="67"/>
      <c r="E13" s="66"/>
      <c r="F13" s="77"/>
      <c r="G13" s="67"/>
    </row>
    <row r="14" customFormat="false" ht="25.5" hidden="false" customHeight="true" outlineLevel="0" collapsed="false">
      <c r="A14" s="74"/>
      <c r="B14" s="75"/>
      <c r="C14" s="74"/>
      <c r="D14" s="74"/>
      <c r="E14" s="75"/>
      <c r="F14" s="76"/>
      <c r="G14" s="74"/>
    </row>
    <row r="15" customFormat="false" ht="25.5" hidden="false" customHeight="true" outlineLevel="0" collapsed="false">
      <c r="A15" s="67"/>
      <c r="B15" s="66"/>
      <c r="C15" s="67"/>
      <c r="D15" s="67"/>
      <c r="E15" s="66"/>
      <c r="F15" s="77"/>
      <c r="G15" s="67"/>
    </row>
    <row r="16" customFormat="false" ht="25.5" hidden="false" customHeight="true" outlineLevel="0" collapsed="false">
      <c r="A16" s="74"/>
      <c r="B16" s="75"/>
      <c r="C16" s="74"/>
      <c r="D16" s="74"/>
      <c r="E16" s="75"/>
      <c r="F16" s="76"/>
      <c r="G16" s="74"/>
    </row>
    <row r="17" customFormat="false" ht="25.5" hidden="false" customHeight="true" outlineLevel="0" collapsed="false">
      <c r="A17" s="67"/>
      <c r="B17" s="66"/>
      <c r="C17" s="67"/>
      <c r="D17" s="67"/>
      <c r="E17" s="66"/>
      <c r="F17" s="77"/>
      <c r="G17" s="67"/>
    </row>
    <row r="18" customFormat="false" ht="25.5" hidden="false" customHeight="true" outlineLevel="0" collapsed="false">
      <c r="A18" s="74"/>
      <c r="B18" s="75"/>
      <c r="C18" s="74"/>
      <c r="D18" s="74"/>
      <c r="E18" s="75"/>
      <c r="F18" s="76"/>
      <c r="G18" s="74"/>
    </row>
    <row r="19" customFormat="false" ht="25.5" hidden="false" customHeight="true" outlineLevel="0" collapsed="false">
      <c r="A19" s="67"/>
      <c r="B19" s="66"/>
      <c r="C19" s="67"/>
      <c r="D19" s="67"/>
      <c r="E19" s="66"/>
      <c r="F19" s="77"/>
      <c r="G19" s="67"/>
    </row>
    <row r="20" customFormat="false" ht="25.5" hidden="false" customHeight="true" outlineLevel="0" collapsed="false">
      <c r="A20" s="74"/>
      <c r="B20" s="75"/>
      <c r="C20" s="74"/>
      <c r="D20" s="74"/>
      <c r="E20" s="75"/>
      <c r="F20" s="76"/>
      <c r="G20" s="74"/>
    </row>
    <row r="21" customFormat="false" ht="25.5" hidden="false" customHeight="true" outlineLevel="0" collapsed="false">
      <c r="A21" s="67"/>
      <c r="B21" s="66"/>
      <c r="C21" s="67"/>
      <c r="D21" s="67"/>
      <c r="E21" s="66"/>
      <c r="F21" s="77"/>
      <c r="G21" s="67"/>
    </row>
    <row r="22" customFormat="false" ht="25.5" hidden="false" customHeight="true" outlineLevel="0" collapsed="false">
      <c r="A22" s="74"/>
      <c r="B22" s="75"/>
      <c r="C22" s="74"/>
      <c r="D22" s="74"/>
      <c r="E22" s="75"/>
      <c r="F22" s="76"/>
      <c r="G22" s="74"/>
    </row>
    <row r="23" customFormat="false" ht="25.5" hidden="false" customHeight="true" outlineLevel="0" collapsed="false">
      <c r="A23" s="67"/>
      <c r="B23" s="66"/>
      <c r="C23" s="67"/>
      <c r="D23" s="67"/>
      <c r="E23" s="66"/>
      <c r="F23" s="77"/>
      <c r="G23" s="67"/>
    </row>
    <row r="24" customFormat="false" ht="25.5" hidden="false" customHeight="true" outlineLevel="0" collapsed="false">
      <c r="A24" s="74"/>
      <c r="B24" s="75"/>
      <c r="C24" s="74"/>
      <c r="D24" s="74"/>
      <c r="E24" s="75"/>
      <c r="F24" s="76"/>
      <c r="G24" s="74"/>
    </row>
    <row r="25" customFormat="false" ht="25.5" hidden="false" customHeight="true" outlineLevel="0" collapsed="false">
      <c r="A25" s="67"/>
      <c r="B25" s="66"/>
      <c r="C25" s="67"/>
      <c r="D25" s="67"/>
      <c r="E25" s="66"/>
      <c r="F25" s="77"/>
      <c r="G25" s="67"/>
    </row>
    <row r="26" customFormat="false" ht="25.5" hidden="false" customHeight="true" outlineLevel="0" collapsed="false">
      <c r="A26" s="74"/>
      <c r="B26" s="75"/>
      <c r="C26" s="74"/>
      <c r="D26" s="74"/>
      <c r="E26" s="75"/>
      <c r="F26" s="76"/>
      <c r="G26" s="74"/>
    </row>
    <row r="27" customFormat="false" ht="25.5" hidden="false" customHeight="true" outlineLevel="0" collapsed="false">
      <c r="A27" s="67"/>
      <c r="B27" s="66"/>
      <c r="C27" s="67"/>
      <c r="D27" s="67"/>
      <c r="E27" s="66"/>
      <c r="F27" s="77"/>
      <c r="G27" s="67"/>
    </row>
    <row r="28" customFormat="false" ht="25.5" hidden="false" customHeight="true" outlineLevel="0" collapsed="false">
      <c r="A28" s="74"/>
      <c r="B28" s="75"/>
      <c r="C28" s="74"/>
      <c r="D28" s="74"/>
      <c r="E28" s="75"/>
      <c r="F28" s="76"/>
      <c r="G28" s="74"/>
    </row>
    <row r="29" customFormat="false" ht="25.5" hidden="false" customHeight="true" outlineLevel="0" collapsed="false">
      <c r="A29" s="67"/>
      <c r="B29" s="66"/>
      <c r="C29" s="67"/>
      <c r="D29" s="67"/>
      <c r="E29" s="66"/>
      <c r="F29" s="77"/>
      <c r="G29" s="67"/>
    </row>
    <row r="30" customFormat="false" ht="25.5" hidden="false" customHeight="true" outlineLevel="0" collapsed="false">
      <c r="A30" s="74"/>
      <c r="B30" s="75"/>
      <c r="C30" s="74"/>
      <c r="D30" s="74"/>
      <c r="E30" s="75"/>
      <c r="F30" s="76"/>
      <c r="G30" s="74"/>
    </row>
    <row r="31" customFormat="false" ht="25.5" hidden="false" customHeight="true" outlineLevel="0" collapsed="false">
      <c r="A31" s="67"/>
      <c r="B31" s="66"/>
      <c r="C31" s="67"/>
      <c r="D31" s="67"/>
      <c r="E31" s="66"/>
      <c r="F31" s="77"/>
      <c r="G31" s="67"/>
    </row>
    <row r="32" customFormat="false" ht="25.5" hidden="false" customHeight="true" outlineLevel="0" collapsed="false">
      <c r="A32" s="74"/>
      <c r="B32" s="75"/>
      <c r="C32" s="74"/>
      <c r="D32" s="74"/>
      <c r="E32" s="75"/>
      <c r="F32" s="76"/>
      <c r="G32" s="74"/>
    </row>
    <row r="33" customFormat="false" ht="25.5" hidden="false" customHeight="true" outlineLevel="0" collapsed="false">
      <c r="A33" s="67"/>
      <c r="B33" s="66"/>
      <c r="C33" s="67"/>
      <c r="D33" s="67"/>
      <c r="E33" s="66"/>
      <c r="F33" s="77"/>
      <c r="G33" s="67"/>
    </row>
    <row r="34" customFormat="false" ht="25.5" hidden="false" customHeight="true" outlineLevel="0" collapsed="false">
      <c r="A34" s="74"/>
      <c r="B34" s="75"/>
      <c r="C34" s="74"/>
      <c r="D34" s="74"/>
      <c r="E34" s="75"/>
      <c r="F34" s="76"/>
      <c r="G34" s="74"/>
    </row>
    <row r="35" customFormat="false" ht="25.5" hidden="false" customHeight="true" outlineLevel="0" collapsed="false">
      <c r="A35" s="67"/>
      <c r="B35" s="66"/>
      <c r="C35" s="67"/>
      <c r="D35" s="67"/>
      <c r="E35" s="66"/>
      <c r="F35" s="77"/>
      <c r="G35" s="67"/>
    </row>
    <row r="36" customFormat="false" ht="25.5" hidden="false" customHeight="true" outlineLevel="0" collapsed="false">
      <c r="A36" s="74"/>
      <c r="B36" s="75"/>
      <c r="C36" s="74"/>
      <c r="D36" s="74"/>
      <c r="E36" s="75"/>
      <c r="F36" s="76"/>
      <c r="G36" s="74"/>
    </row>
    <row r="37" customFormat="false" ht="25.5" hidden="false" customHeight="true" outlineLevel="0" collapsed="false">
      <c r="A37" s="67"/>
      <c r="B37" s="66"/>
      <c r="C37" s="67"/>
      <c r="D37" s="67"/>
      <c r="E37" s="66"/>
      <c r="F37" s="77"/>
      <c r="G37" s="67"/>
    </row>
    <row r="38" customFormat="false" ht="25.5" hidden="false" customHeight="true" outlineLevel="0" collapsed="false">
      <c r="A38" s="74"/>
      <c r="B38" s="75"/>
      <c r="C38" s="74"/>
      <c r="D38" s="74"/>
      <c r="E38" s="75"/>
      <c r="F38" s="76"/>
      <c r="G38" s="74"/>
    </row>
    <row r="39" customFormat="false" ht="25.5" hidden="false" customHeight="true" outlineLevel="0" collapsed="false">
      <c r="A39" s="67"/>
      <c r="B39" s="66"/>
      <c r="C39" s="67"/>
      <c r="D39" s="67"/>
      <c r="E39" s="66"/>
      <c r="F39" s="77"/>
      <c r="G39" s="67"/>
    </row>
    <row r="40" customFormat="false" ht="25.5" hidden="false" customHeight="true" outlineLevel="0" collapsed="false">
      <c r="A40" s="74"/>
      <c r="B40" s="75"/>
      <c r="C40" s="74"/>
      <c r="D40" s="74"/>
      <c r="E40" s="75"/>
      <c r="F40" s="76"/>
      <c r="G40" s="74"/>
    </row>
    <row r="41" customFormat="false" ht="25.5" hidden="false" customHeight="true" outlineLevel="0" collapsed="false">
      <c r="A41" s="67"/>
      <c r="B41" s="66"/>
      <c r="C41" s="67"/>
      <c r="D41" s="67"/>
      <c r="E41" s="66"/>
      <c r="F41" s="77"/>
      <c r="G41" s="67"/>
    </row>
    <row r="44" customFormat="false" ht="14.9" hidden="false" customHeight="false" outlineLevel="0" collapsed="false">
      <c r="A44" s="30" t="s">
        <v>232</v>
      </c>
      <c r="B44" s="30"/>
      <c r="C44" s="30"/>
      <c r="D44" s="30"/>
      <c r="E44" s="30"/>
      <c r="F44" s="30"/>
      <c r="G44" s="30"/>
    </row>
  </sheetData>
  <mergeCells count="3">
    <mergeCell ref="A1:G1"/>
    <mergeCell ref="A2:G2"/>
    <mergeCell ref="A44:G44"/>
  </mergeCells>
  <dataValidations count="2">
    <dataValidation allowBlank="true" errorStyle="stop" operator="between" showDropDown="false" showErrorMessage="false" showInputMessage="false" sqref="C6:C41" type="list">
      <formula1>"F01,F02,F03,F04,F05,F06,F07,F08,F09,F10,F11,F12,F13,—"</formula1>
      <formula2>0</formula2>
    </dataValidation>
    <dataValidation allowBlank="true" errorStyle="stop" operator="between" showDropDown="false" showErrorMessage="false" showInputMessage="false" sqref="E6:E41" type="list">
      <formula1>"A 배포롤백,B 코드롤백,C 환경변수,—"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2026-10-06T16:55:00Z</dcterms:created>
  <dc:creator>openpyxl</dc:creator>
  <dc:description/>
  <dc:language>en-US</dc:language>
  <cp:lastModifiedBy/>
  <dcterms:modified xsi:type="dcterms:W3CDTF">2026-10-06T16:55:00Z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